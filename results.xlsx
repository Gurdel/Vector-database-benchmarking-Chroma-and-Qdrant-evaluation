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ksy\Documents\git\paper2_rev3\CIT\правки 1\"/>
    </mc:Choice>
  </mc:AlternateContent>
  <xr:revisionPtr revIDLastSave="0" documentId="13_ncr:1_{746891CC-8CC3-44BB-8ACE-B39696343422}" xr6:coauthVersionLast="47" xr6:coauthVersionMax="47" xr10:uidLastSave="{00000000-0000-0000-0000-000000000000}"/>
  <bookViews>
    <workbookView xWindow="-38510" yWindow="-10890" windowWidth="38620" windowHeight="21220" activeTab="4" xr2:uid="{00000000-000D-0000-FFFF-FFFF00000000}"/>
  </bookViews>
  <sheets>
    <sheet name="RESULTS" sheetId="1" r:id="rId1"/>
    <sheet name="real vs gen" sheetId="2" r:id="rId2"/>
    <sheet name="sparsity" sheetId="3" r:id="rId3"/>
    <sheet name="ml vs news" sheetId="5" r:id="rId4"/>
    <sheet name="dimentionality" sheetId="4" r:id="rId5"/>
  </sheets>
  <calcPr calcId="191029"/>
</workbook>
</file>

<file path=xl/calcChain.xml><?xml version="1.0" encoding="utf-8"?>
<calcChain xmlns="http://schemas.openxmlformats.org/spreadsheetml/2006/main">
  <c r="B21" i="4" l="1"/>
  <c r="C21" i="4"/>
  <c r="D21" i="4"/>
  <c r="E21" i="4"/>
  <c r="F21" i="4"/>
  <c r="G21" i="4"/>
  <c r="B19" i="4"/>
  <c r="C19" i="4"/>
  <c r="D19" i="4"/>
  <c r="E19" i="4"/>
  <c r="F19" i="4"/>
  <c r="G19" i="4"/>
  <c r="B17" i="4"/>
  <c r="C17" i="4"/>
  <c r="D17" i="4"/>
  <c r="E17" i="4"/>
  <c r="F17" i="4"/>
  <c r="G17" i="4"/>
  <c r="B15" i="4"/>
  <c r="C15" i="4"/>
  <c r="D15" i="4"/>
  <c r="E15" i="4"/>
  <c r="F15" i="4"/>
  <c r="G15" i="4"/>
  <c r="B10" i="4"/>
  <c r="C10" i="4"/>
  <c r="D10" i="4"/>
  <c r="E10" i="4"/>
  <c r="F10" i="4"/>
  <c r="G10" i="4"/>
  <c r="B8" i="4"/>
  <c r="C8" i="4"/>
  <c r="D8" i="4"/>
  <c r="E8" i="4"/>
  <c r="F8" i="4"/>
  <c r="G8" i="4"/>
  <c r="B6" i="4"/>
  <c r="C6" i="4"/>
  <c r="D6" i="4"/>
  <c r="E6" i="4"/>
  <c r="F6" i="4"/>
  <c r="G6" i="4"/>
  <c r="B4" i="4"/>
  <c r="C4" i="4"/>
  <c r="D4" i="4"/>
  <c r="E4" i="4"/>
  <c r="F4" i="4"/>
  <c r="G4" i="4"/>
  <c r="B8" i="3"/>
  <c r="C8" i="3"/>
  <c r="D8" i="3"/>
  <c r="E8" i="3"/>
  <c r="F8" i="3"/>
  <c r="G8" i="3"/>
  <c r="H8" i="3"/>
  <c r="I8" i="3"/>
  <c r="J8" i="3"/>
  <c r="K8" i="3"/>
  <c r="L8" i="3"/>
  <c r="B6" i="3"/>
  <c r="C6" i="3"/>
  <c r="D6" i="3"/>
  <c r="E6" i="3"/>
  <c r="F6" i="3"/>
  <c r="G6" i="3"/>
  <c r="H6" i="3"/>
  <c r="I6" i="3"/>
  <c r="J6" i="3"/>
  <c r="K6" i="3"/>
  <c r="L6" i="3"/>
  <c r="B19" i="3"/>
  <c r="C19" i="3"/>
  <c r="D19" i="3"/>
  <c r="E19" i="3"/>
  <c r="F19" i="3"/>
  <c r="G19" i="3"/>
  <c r="H19" i="3"/>
  <c r="I19" i="3"/>
  <c r="J19" i="3"/>
  <c r="K19" i="3"/>
  <c r="L19" i="3"/>
  <c r="B17" i="3"/>
  <c r="C17" i="3"/>
  <c r="D17" i="3"/>
  <c r="E17" i="3"/>
  <c r="F17" i="3"/>
  <c r="G17" i="3"/>
  <c r="H17" i="3"/>
  <c r="I17" i="3"/>
  <c r="J17" i="3"/>
  <c r="K17" i="3"/>
  <c r="L17" i="3"/>
  <c r="D11" i="2"/>
  <c r="B11" i="2"/>
  <c r="C11" i="2"/>
  <c r="E11" i="2"/>
  <c r="F11" i="2"/>
  <c r="G11" i="2"/>
  <c r="H11" i="2"/>
  <c r="I11" i="2"/>
  <c r="B25" i="2"/>
  <c r="C25" i="2"/>
  <c r="D25" i="2"/>
  <c r="E25" i="2"/>
  <c r="F25" i="2"/>
  <c r="G25" i="2"/>
  <c r="H25" i="2"/>
  <c r="I25" i="2"/>
  <c r="C93" i="1"/>
  <c r="C94" i="1"/>
  <c r="B96" i="1"/>
  <c r="C27" i="2" s="1"/>
  <c r="B16" i="1"/>
  <c r="B13" i="2" s="1"/>
  <c r="B15" i="1"/>
  <c r="B14" i="1"/>
  <c r="B13" i="1" s="1"/>
  <c r="S96" i="1"/>
  <c r="E96" i="1"/>
  <c r="Z96" i="1"/>
  <c r="G27" i="2" s="1"/>
  <c r="Y96" i="1"/>
  <c r="I27" i="2" s="1"/>
  <c r="X96" i="1"/>
  <c r="J25" i="5" s="1"/>
  <c r="W96" i="1"/>
  <c r="V96" i="1"/>
  <c r="U96" i="1"/>
  <c r="T96" i="1"/>
  <c r="I25" i="5" s="1"/>
  <c r="R96" i="1"/>
  <c r="Q96" i="1"/>
  <c r="P96" i="1"/>
  <c r="O96" i="1"/>
  <c r="H25" i="5" s="1"/>
  <c r="N96" i="1"/>
  <c r="M96" i="1"/>
  <c r="L96" i="1"/>
  <c r="K96" i="1"/>
  <c r="J96" i="1"/>
  <c r="H96" i="1"/>
  <c r="G25" i="5" s="1"/>
  <c r="G96" i="1"/>
  <c r="F96" i="1"/>
  <c r="D96" i="1"/>
  <c r="C96" i="1"/>
  <c r="E27" i="2" s="1"/>
  <c r="Z95" i="1"/>
  <c r="G26" i="2" s="1"/>
  <c r="Y95" i="1"/>
  <c r="I26" i="2" s="1"/>
  <c r="X95" i="1"/>
  <c r="J24" i="5" s="1"/>
  <c r="W95" i="1"/>
  <c r="V95" i="1"/>
  <c r="U95" i="1"/>
  <c r="T95" i="1"/>
  <c r="I24" i="5" s="1"/>
  <c r="S95" i="1"/>
  <c r="R95" i="1"/>
  <c r="Q95" i="1"/>
  <c r="P95" i="1"/>
  <c r="O95" i="1"/>
  <c r="H24" i="5" s="1"/>
  <c r="N95" i="1"/>
  <c r="M95" i="1"/>
  <c r="L95" i="1"/>
  <c r="K95" i="1"/>
  <c r="J95" i="1"/>
  <c r="H95" i="1"/>
  <c r="G24" i="5" s="1"/>
  <c r="G95" i="1"/>
  <c r="F95" i="1"/>
  <c r="E95" i="1"/>
  <c r="D95" i="1"/>
  <c r="C95" i="1"/>
  <c r="E26" i="2" s="1"/>
  <c r="B95" i="1"/>
  <c r="C26" i="2" s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H94" i="1"/>
  <c r="G23" i="5" s="1"/>
  <c r="G94" i="1"/>
  <c r="F94" i="1"/>
  <c r="E94" i="1"/>
  <c r="D94" i="1"/>
  <c r="B94" i="1"/>
  <c r="Z81" i="1"/>
  <c r="G13" i="2" s="1"/>
  <c r="Y81" i="1"/>
  <c r="I13" i="2" s="1"/>
  <c r="X81" i="1"/>
  <c r="J12" i="5" s="1"/>
  <c r="W81" i="1"/>
  <c r="V81" i="1"/>
  <c r="U81" i="1"/>
  <c r="T81" i="1"/>
  <c r="I12" i="5" s="1"/>
  <c r="S81" i="1"/>
  <c r="R81" i="1"/>
  <c r="Q81" i="1"/>
  <c r="P81" i="1"/>
  <c r="O81" i="1"/>
  <c r="H12" i="5" s="1"/>
  <c r="N81" i="1"/>
  <c r="M81" i="1"/>
  <c r="L81" i="1"/>
  <c r="K81" i="1"/>
  <c r="J81" i="1"/>
  <c r="H81" i="1"/>
  <c r="G12" i="5" s="1"/>
  <c r="G81" i="1"/>
  <c r="F81" i="1"/>
  <c r="E81" i="1"/>
  <c r="D81" i="1"/>
  <c r="C81" i="1"/>
  <c r="E13" i="2" s="1"/>
  <c r="B81" i="1"/>
  <c r="C13" i="2" s="1"/>
  <c r="Z80" i="1"/>
  <c r="G12" i="2" s="1"/>
  <c r="Y80" i="1"/>
  <c r="I12" i="2" s="1"/>
  <c r="X80" i="1"/>
  <c r="J11" i="5" s="1"/>
  <c r="W80" i="1"/>
  <c r="V80" i="1"/>
  <c r="U80" i="1"/>
  <c r="T80" i="1"/>
  <c r="I11" i="5" s="1"/>
  <c r="S80" i="1"/>
  <c r="R80" i="1"/>
  <c r="Q80" i="1"/>
  <c r="P80" i="1"/>
  <c r="O80" i="1"/>
  <c r="H11" i="5" s="1"/>
  <c r="N80" i="1"/>
  <c r="M80" i="1"/>
  <c r="L80" i="1"/>
  <c r="K80" i="1"/>
  <c r="J80" i="1"/>
  <c r="H80" i="1"/>
  <c r="G11" i="5" s="1"/>
  <c r="G80" i="1"/>
  <c r="F80" i="1"/>
  <c r="E80" i="1"/>
  <c r="D80" i="1"/>
  <c r="C80" i="1"/>
  <c r="E12" i="2" s="1"/>
  <c r="B80" i="1"/>
  <c r="C12" i="2" s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H79" i="1"/>
  <c r="G10" i="5" s="1"/>
  <c r="G79" i="1"/>
  <c r="F79" i="1"/>
  <c r="E79" i="1"/>
  <c r="D79" i="1"/>
  <c r="C79" i="1"/>
  <c r="B79" i="1"/>
  <c r="M30" i="1"/>
  <c r="F30" i="1"/>
  <c r="C31" i="1"/>
  <c r="D27" i="2" s="1"/>
  <c r="B29" i="1"/>
  <c r="Z31" i="1"/>
  <c r="F27" i="2" s="1"/>
  <c r="Y31" i="1"/>
  <c r="H27" i="2" s="1"/>
  <c r="X31" i="1"/>
  <c r="E25" i="5" s="1"/>
  <c r="W31" i="1"/>
  <c r="V31" i="1"/>
  <c r="U31" i="1"/>
  <c r="T31" i="1"/>
  <c r="D25" i="5" s="1"/>
  <c r="S31" i="1"/>
  <c r="R31" i="1"/>
  <c r="Q31" i="1"/>
  <c r="P31" i="1"/>
  <c r="O31" i="1"/>
  <c r="C25" i="5" s="1"/>
  <c r="N31" i="1"/>
  <c r="M31" i="1"/>
  <c r="L31" i="1"/>
  <c r="K31" i="1"/>
  <c r="J31" i="1"/>
  <c r="H31" i="1"/>
  <c r="B25" i="5" s="1"/>
  <c r="G31" i="1"/>
  <c r="F31" i="1"/>
  <c r="E31" i="1"/>
  <c r="D31" i="1"/>
  <c r="B31" i="1"/>
  <c r="B27" i="2" s="1"/>
  <c r="Z30" i="1"/>
  <c r="F26" i="2" s="1"/>
  <c r="Y30" i="1"/>
  <c r="H26" i="2" s="1"/>
  <c r="X30" i="1"/>
  <c r="E24" i="5" s="1"/>
  <c r="W30" i="1"/>
  <c r="V30" i="1"/>
  <c r="U30" i="1"/>
  <c r="T30" i="1"/>
  <c r="D24" i="5" s="1"/>
  <c r="S30" i="1"/>
  <c r="R30" i="1"/>
  <c r="Q30" i="1"/>
  <c r="P30" i="1"/>
  <c r="O30" i="1"/>
  <c r="C24" i="5" s="1"/>
  <c r="N30" i="1"/>
  <c r="L30" i="1"/>
  <c r="K30" i="1"/>
  <c r="J30" i="1"/>
  <c r="H30" i="1"/>
  <c r="B24" i="5" s="1"/>
  <c r="G30" i="1"/>
  <c r="E30" i="1"/>
  <c r="D30" i="1"/>
  <c r="C30" i="1"/>
  <c r="D26" i="2" s="1"/>
  <c r="B30" i="1"/>
  <c r="B26" i="2" s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H29" i="1"/>
  <c r="B23" i="5" s="1"/>
  <c r="G29" i="1"/>
  <c r="F29" i="1"/>
  <c r="E29" i="1"/>
  <c r="D29" i="1"/>
  <c r="C29" i="1"/>
  <c r="K16" i="1"/>
  <c r="J15" i="1"/>
  <c r="C14" i="1"/>
  <c r="D14" i="1"/>
  <c r="E14" i="1"/>
  <c r="F14" i="1"/>
  <c r="G14" i="1"/>
  <c r="H14" i="1"/>
  <c r="B10" i="5" s="1"/>
  <c r="J14" i="1"/>
  <c r="K14" i="1"/>
  <c r="L14" i="1"/>
  <c r="M14" i="1"/>
  <c r="N14" i="1"/>
  <c r="O14" i="1"/>
  <c r="P14" i="1"/>
  <c r="P13" i="1" s="1"/>
  <c r="Q14" i="1"/>
  <c r="R14" i="1"/>
  <c r="S14" i="1"/>
  <c r="T14" i="1"/>
  <c r="U14" i="1"/>
  <c r="V14" i="1"/>
  <c r="W14" i="1"/>
  <c r="X14" i="1"/>
  <c r="Y14" i="1"/>
  <c r="Z14" i="1"/>
  <c r="C15" i="1"/>
  <c r="D12" i="2" s="1"/>
  <c r="D15" i="1"/>
  <c r="E15" i="1"/>
  <c r="F15" i="1"/>
  <c r="G15" i="1"/>
  <c r="H15" i="1"/>
  <c r="B11" i="5" s="1"/>
  <c r="K15" i="1"/>
  <c r="L15" i="1"/>
  <c r="M15" i="1"/>
  <c r="N15" i="1"/>
  <c r="O15" i="1"/>
  <c r="C11" i="5" s="1"/>
  <c r="P15" i="1"/>
  <c r="Q15" i="1"/>
  <c r="R15" i="1"/>
  <c r="S15" i="1"/>
  <c r="T15" i="1"/>
  <c r="D11" i="5" s="1"/>
  <c r="U15" i="1"/>
  <c r="V15" i="1"/>
  <c r="W15" i="1"/>
  <c r="X15" i="1"/>
  <c r="E11" i="5" s="1"/>
  <c r="Y15" i="1"/>
  <c r="H12" i="2" s="1"/>
  <c r="Z15" i="1"/>
  <c r="F12" i="2" s="1"/>
  <c r="C16" i="1"/>
  <c r="D13" i="2" s="1"/>
  <c r="D16" i="1"/>
  <c r="E16" i="1"/>
  <c r="F16" i="1"/>
  <c r="G16" i="1"/>
  <c r="H16" i="1"/>
  <c r="B12" i="5" s="1"/>
  <c r="J16" i="1"/>
  <c r="L16" i="1"/>
  <c r="M16" i="1"/>
  <c r="N16" i="1"/>
  <c r="O16" i="1"/>
  <c r="C12" i="5" s="1"/>
  <c r="P16" i="1"/>
  <c r="Q16" i="1"/>
  <c r="R16" i="1"/>
  <c r="S16" i="1"/>
  <c r="T16" i="1"/>
  <c r="D12" i="5" s="1"/>
  <c r="U16" i="1"/>
  <c r="V16" i="1"/>
  <c r="W16" i="1"/>
  <c r="X16" i="1"/>
  <c r="E12" i="5" s="1"/>
  <c r="Y16" i="1"/>
  <c r="H13" i="2" s="1"/>
  <c r="Z16" i="1"/>
  <c r="F13" i="2" s="1"/>
  <c r="B12" i="2"/>
  <c r="C12" i="1"/>
  <c r="W92" i="1"/>
  <c r="V92" i="1"/>
  <c r="H19" i="5"/>
  <c r="O27" i="1"/>
  <c r="G18" i="5"/>
  <c r="H18" i="5"/>
  <c r="I18" i="5"/>
  <c r="J18" i="5"/>
  <c r="G19" i="5"/>
  <c r="I19" i="5"/>
  <c r="J19" i="5"/>
  <c r="G20" i="5"/>
  <c r="H20" i="5"/>
  <c r="I20" i="5"/>
  <c r="J20" i="5"/>
  <c r="G21" i="5"/>
  <c r="H21" i="5"/>
  <c r="I21" i="5"/>
  <c r="J21" i="5"/>
  <c r="J17" i="5"/>
  <c r="I17" i="5"/>
  <c r="H17" i="5"/>
  <c r="G17" i="5"/>
  <c r="J5" i="5"/>
  <c r="J6" i="5"/>
  <c r="J7" i="5"/>
  <c r="J8" i="5"/>
  <c r="J4" i="5"/>
  <c r="I5" i="5"/>
  <c r="I6" i="5"/>
  <c r="I7" i="5"/>
  <c r="I8" i="5"/>
  <c r="I4" i="5"/>
  <c r="H5" i="5"/>
  <c r="H6" i="5"/>
  <c r="H7" i="5"/>
  <c r="H8" i="5"/>
  <c r="H4" i="5"/>
  <c r="G5" i="5"/>
  <c r="G6" i="5"/>
  <c r="G7" i="5"/>
  <c r="G8" i="5"/>
  <c r="G4" i="5"/>
  <c r="B18" i="5"/>
  <c r="C18" i="5"/>
  <c r="D18" i="5"/>
  <c r="E18" i="5"/>
  <c r="B19" i="5"/>
  <c r="C19" i="5"/>
  <c r="D19" i="5"/>
  <c r="E19" i="5"/>
  <c r="B20" i="5"/>
  <c r="C20" i="5"/>
  <c r="D20" i="5"/>
  <c r="E20" i="5"/>
  <c r="B21" i="5"/>
  <c r="C21" i="5"/>
  <c r="D21" i="5"/>
  <c r="E21" i="5"/>
  <c r="E17" i="5"/>
  <c r="D17" i="5"/>
  <c r="C17" i="5"/>
  <c r="B17" i="5"/>
  <c r="E5" i="5"/>
  <c r="E6" i="5"/>
  <c r="E7" i="5"/>
  <c r="E8" i="5"/>
  <c r="E4" i="5"/>
  <c r="D5" i="5"/>
  <c r="D6" i="5"/>
  <c r="D7" i="5"/>
  <c r="D8" i="5"/>
  <c r="D4" i="5"/>
  <c r="C5" i="5"/>
  <c r="C6" i="5"/>
  <c r="C7" i="5"/>
  <c r="C8" i="5"/>
  <c r="C4" i="5"/>
  <c r="B5" i="5"/>
  <c r="B6" i="5"/>
  <c r="B7" i="5"/>
  <c r="B8" i="5"/>
  <c r="B4" i="5"/>
  <c r="B20" i="2"/>
  <c r="C20" i="2"/>
  <c r="D20" i="2"/>
  <c r="E20" i="2"/>
  <c r="F20" i="2"/>
  <c r="G20" i="2"/>
  <c r="H20" i="2"/>
  <c r="I20" i="2"/>
  <c r="B21" i="2"/>
  <c r="C21" i="2"/>
  <c r="D21" i="2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B23" i="2"/>
  <c r="C23" i="2"/>
  <c r="D23" i="2"/>
  <c r="E23" i="2"/>
  <c r="F23" i="2"/>
  <c r="G23" i="2"/>
  <c r="H23" i="2"/>
  <c r="I23" i="2"/>
  <c r="I19" i="2"/>
  <c r="H19" i="2"/>
  <c r="G19" i="2"/>
  <c r="F19" i="2"/>
  <c r="E19" i="2"/>
  <c r="D19" i="2"/>
  <c r="C19" i="2"/>
  <c r="B19" i="2"/>
  <c r="G6" i="2"/>
  <c r="G7" i="2"/>
  <c r="G8" i="2"/>
  <c r="G9" i="2"/>
  <c r="G5" i="2"/>
  <c r="I6" i="2"/>
  <c r="I7" i="2"/>
  <c r="I8" i="2"/>
  <c r="I9" i="2"/>
  <c r="I5" i="2"/>
  <c r="H6" i="2"/>
  <c r="H7" i="2"/>
  <c r="H8" i="2"/>
  <c r="H9" i="2"/>
  <c r="H5" i="2"/>
  <c r="F6" i="2"/>
  <c r="F7" i="2"/>
  <c r="F8" i="2"/>
  <c r="F9" i="2"/>
  <c r="F5" i="2"/>
  <c r="E6" i="2"/>
  <c r="E7" i="2"/>
  <c r="E8" i="2"/>
  <c r="E9" i="2"/>
  <c r="E5" i="2"/>
  <c r="D6" i="2"/>
  <c r="D7" i="2"/>
  <c r="D8" i="2"/>
  <c r="D9" i="2"/>
  <c r="D5" i="2"/>
  <c r="B6" i="2"/>
  <c r="B7" i="2"/>
  <c r="B8" i="2"/>
  <c r="B9" i="2"/>
  <c r="B5" i="2"/>
  <c r="C6" i="2"/>
  <c r="C7" i="2"/>
  <c r="C8" i="2"/>
  <c r="C9" i="2"/>
  <c r="C5" i="2"/>
  <c r="B78" i="1" l="1"/>
  <c r="E78" i="1"/>
  <c r="B28" i="1"/>
  <c r="R28" i="1"/>
  <c r="F78" i="1"/>
  <c r="N78" i="1"/>
  <c r="S78" i="1"/>
  <c r="Z78" i="1"/>
  <c r="R78" i="1"/>
  <c r="G93" i="1"/>
  <c r="T93" i="1"/>
  <c r="H93" i="1"/>
  <c r="U93" i="1"/>
  <c r="G78" i="1"/>
  <c r="T78" i="1"/>
  <c r="J93" i="1"/>
  <c r="V93" i="1"/>
  <c r="H78" i="1"/>
  <c r="U78" i="1"/>
  <c r="K93" i="1"/>
  <c r="W93" i="1"/>
  <c r="J78" i="1"/>
  <c r="V78" i="1"/>
  <c r="L93" i="1"/>
  <c r="X93" i="1"/>
  <c r="K78" i="1"/>
  <c r="W78" i="1"/>
  <c r="M93" i="1"/>
  <c r="Y93" i="1"/>
  <c r="L78" i="1"/>
  <c r="X78" i="1"/>
  <c r="N93" i="1"/>
  <c r="Z93" i="1"/>
  <c r="Q28" i="1"/>
  <c r="M78" i="1"/>
  <c r="Y78" i="1"/>
  <c r="O93" i="1"/>
  <c r="D93" i="1"/>
  <c r="P93" i="1"/>
  <c r="O78" i="1"/>
  <c r="B93" i="1"/>
  <c r="Q93" i="1"/>
  <c r="D28" i="1"/>
  <c r="C78" i="1"/>
  <c r="P78" i="1"/>
  <c r="E93" i="1"/>
  <c r="R93" i="1"/>
  <c r="D78" i="1"/>
  <c r="Q78" i="1"/>
  <c r="F93" i="1"/>
  <c r="S93" i="1"/>
  <c r="E28" i="1"/>
  <c r="S28" i="1"/>
  <c r="F28" i="1"/>
  <c r="T28" i="1"/>
  <c r="G28" i="1"/>
  <c r="U28" i="1"/>
  <c r="H28" i="1"/>
  <c r="V28" i="1"/>
  <c r="J28" i="1"/>
  <c r="W28" i="1"/>
  <c r="K28" i="1"/>
  <c r="X28" i="1"/>
  <c r="C28" i="1"/>
  <c r="M28" i="1"/>
  <c r="Y28" i="1"/>
  <c r="N28" i="1"/>
  <c r="Z28" i="1"/>
  <c r="O28" i="1"/>
  <c r="P28" i="1"/>
  <c r="L28" i="1"/>
  <c r="U13" i="1"/>
  <c r="E10" i="5"/>
  <c r="H13" i="1"/>
  <c r="T13" i="1"/>
  <c r="J10" i="5"/>
  <c r="G13" i="1"/>
  <c r="S13" i="1"/>
  <c r="E23" i="5"/>
  <c r="F13" i="1"/>
  <c r="R13" i="1"/>
  <c r="J23" i="5"/>
  <c r="E13" i="1"/>
  <c r="Q13" i="1"/>
  <c r="D13" i="1"/>
  <c r="C13" i="1"/>
  <c r="O13" i="1"/>
  <c r="Z13" i="1"/>
  <c r="N13" i="1"/>
  <c r="Y13" i="1"/>
  <c r="M13" i="1"/>
  <c r="X13" i="1"/>
  <c r="L13" i="1"/>
  <c r="W13" i="1"/>
  <c r="K13" i="1"/>
  <c r="V13" i="1"/>
  <c r="J13" i="1"/>
  <c r="D10" i="5"/>
  <c r="I10" i="5"/>
  <c r="D23" i="5"/>
  <c r="I23" i="5"/>
  <c r="C10" i="5"/>
  <c r="H10" i="5"/>
  <c r="C23" i="5"/>
  <c r="H23" i="5"/>
  <c r="C22" i="5"/>
  <c r="B16" i="3"/>
  <c r="G16" i="4"/>
  <c r="Z92" i="1"/>
  <c r="G24" i="2" s="1"/>
  <c r="Y92" i="1"/>
  <c r="X92" i="1"/>
  <c r="J18" i="3"/>
  <c r="I18" i="3"/>
  <c r="U92" i="1"/>
  <c r="H18" i="3" s="1"/>
  <c r="T92" i="1"/>
  <c r="S92" i="1"/>
  <c r="F18" i="3" s="1"/>
  <c r="R92" i="1"/>
  <c r="E18" i="3" s="1"/>
  <c r="Q92" i="1"/>
  <c r="D18" i="3" s="1"/>
  <c r="P92" i="1"/>
  <c r="C18" i="3" s="1"/>
  <c r="O92" i="1"/>
  <c r="N92" i="1"/>
  <c r="F20" i="4" s="1"/>
  <c r="M92" i="1"/>
  <c r="E20" i="4" s="1"/>
  <c r="L92" i="1"/>
  <c r="D20" i="4" s="1"/>
  <c r="K92" i="1"/>
  <c r="C20" i="4" s="1"/>
  <c r="J92" i="1"/>
  <c r="B20" i="4" s="1"/>
  <c r="H92" i="1"/>
  <c r="G92" i="1"/>
  <c r="F18" i="4" s="1"/>
  <c r="F92" i="1"/>
  <c r="E18" i="4" s="1"/>
  <c r="E92" i="1"/>
  <c r="D18" i="4" s="1"/>
  <c r="D92" i="1"/>
  <c r="C18" i="4" s="1"/>
  <c r="C92" i="1"/>
  <c r="B92" i="1"/>
  <c r="C24" i="2" s="1"/>
  <c r="Z77" i="1"/>
  <c r="G10" i="2" s="1"/>
  <c r="Y77" i="1"/>
  <c r="I10" i="2" s="1"/>
  <c r="X77" i="1"/>
  <c r="W77" i="1"/>
  <c r="J7" i="3" s="1"/>
  <c r="V77" i="1"/>
  <c r="I7" i="3" s="1"/>
  <c r="U77" i="1"/>
  <c r="H7" i="3" s="1"/>
  <c r="T77" i="1"/>
  <c r="S77" i="1"/>
  <c r="F7" i="3" s="1"/>
  <c r="R77" i="1"/>
  <c r="E7" i="3" s="1"/>
  <c r="Q77" i="1"/>
  <c r="D7" i="3" s="1"/>
  <c r="P77" i="1"/>
  <c r="C7" i="3" s="1"/>
  <c r="O77" i="1"/>
  <c r="N77" i="1"/>
  <c r="F9" i="4" s="1"/>
  <c r="M77" i="1"/>
  <c r="E9" i="4" s="1"/>
  <c r="L77" i="1"/>
  <c r="D9" i="4" s="1"/>
  <c r="K77" i="1"/>
  <c r="C9" i="4" s="1"/>
  <c r="J77" i="1"/>
  <c r="B9" i="4" s="1"/>
  <c r="H77" i="1"/>
  <c r="G77" i="1"/>
  <c r="F7" i="4" s="1"/>
  <c r="F77" i="1"/>
  <c r="E7" i="4" s="1"/>
  <c r="E77" i="1"/>
  <c r="D7" i="4" s="1"/>
  <c r="D77" i="1"/>
  <c r="C7" i="4" s="1"/>
  <c r="C77" i="1"/>
  <c r="B77" i="1"/>
  <c r="C10" i="2" s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H65" i="1"/>
  <c r="G65" i="1"/>
  <c r="F65" i="1"/>
  <c r="E65" i="1"/>
  <c r="D65" i="1"/>
  <c r="C65" i="1"/>
  <c r="B65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H54" i="1"/>
  <c r="G54" i="1"/>
  <c r="F54" i="1"/>
  <c r="E54" i="1"/>
  <c r="D54" i="1"/>
  <c r="C54" i="1"/>
  <c r="B54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H42" i="1"/>
  <c r="G42" i="1"/>
  <c r="F42" i="1"/>
  <c r="E42" i="1"/>
  <c r="D42" i="1"/>
  <c r="C42" i="1"/>
  <c r="B42" i="1"/>
  <c r="Z27" i="1"/>
  <c r="F24" i="2" s="1"/>
  <c r="Y27" i="1"/>
  <c r="L16" i="3" s="1"/>
  <c r="X27" i="1"/>
  <c r="W27" i="1"/>
  <c r="J16" i="3" s="1"/>
  <c r="V27" i="1"/>
  <c r="I16" i="3" s="1"/>
  <c r="U27" i="1"/>
  <c r="H16" i="3" s="1"/>
  <c r="T27" i="1"/>
  <c r="S27" i="1"/>
  <c r="F16" i="3" s="1"/>
  <c r="R27" i="1"/>
  <c r="E16" i="3" s="1"/>
  <c r="Q27" i="1"/>
  <c r="D16" i="3" s="1"/>
  <c r="P27" i="1"/>
  <c r="C16" i="3" s="1"/>
  <c r="N27" i="1"/>
  <c r="F16" i="4" s="1"/>
  <c r="M27" i="1"/>
  <c r="E16" i="4" s="1"/>
  <c r="L27" i="1"/>
  <c r="D16" i="4" s="1"/>
  <c r="K27" i="1"/>
  <c r="C16" i="4" s="1"/>
  <c r="J27" i="1"/>
  <c r="B16" i="4" s="1"/>
  <c r="H27" i="1"/>
  <c r="G27" i="1"/>
  <c r="F14" i="4" s="1"/>
  <c r="F27" i="1"/>
  <c r="E14" i="4" s="1"/>
  <c r="E27" i="1"/>
  <c r="D14" i="4" s="1"/>
  <c r="D27" i="1"/>
  <c r="C14" i="4" s="1"/>
  <c r="C27" i="1"/>
  <c r="B27" i="1"/>
  <c r="B24" i="2" s="1"/>
  <c r="Z12" i="1"/>
  <c r="F10" i="2" s="1"/>
  <c r="Y12" i="1"/>
  <c r="X12" i="1"/>
  <c r="W12" i="1"/>
  <c r="J5" i="3" s="1"/>
  <c r="V12" i="1"/>
  <c r="I5" i="3" s="1"/>
  <c r="U12" i="1"/>
  <c r="H5" i="3" s="1"/>
  <c r="T12" i="1"/>
  <c r="S12" i="1"/>
  <c r="F5" i="3" s="1"/>
  <c r="R12" i="1"/>
  <c r="E5" i="3" s="1"/>
  <c r="Q12" i="1"/>
  <c r="D5" i="3" s="1"/>
  <c r="P12" i="1"/>
  <c r="C5" i="3" s="1"/>
  <c r="O12" i="1"/>
  <c r="B5" i="3" s="1"/>
  <c r="N12" i="1"/>
  <c r="F5" i="4" s="1"/>
  <c r="M12" i="1"/>
  <c r="E5" i="4" s="1"/>
  <c r="L12" i="1"/>
  <c r="D5" i="4" s="1"/>
  <c r="K12" i="1"/>
  <c r="C5" i="4" s="1"/>
  <c r="J12" i="1"/>
  <c r="B5" i="4" s="1"/>
  <c r="H12" i="1"/>
  <c r="G12" i="1"/>
  <c r="F3" i="4" s="1"/>
  <c r="F12" i="1"/>
  <c r="E3" i="4" s="1"/>
  <c r="E12" i="1"/>
  <c r="D3" i="4" s="1"/>
  <c r="D12" i="1"/>
  <c r="C3" i="4" s="1"/>
  <c r="B12" i="1"/>
  <c r="B10" i="2" s="1"/>
  <c r="D22" i="5" l="1"/>
  <c r="G16" i="3"/>
  <c r="G7" i="3"/>
  <c r="I9" i="5"/>
  <c r="G5" i="3"/>
  <c r="D9" i="5"/>
  <c r="G7" i="4"/>
  <c r="G9" i="5"/>
  <c r="G18" i="4"/>
  <c r="G22" i="5"/>
  <c r="G3" i="4"/>
  <c r="B9" i="5"/>
  <c r="G14" i="4"/>
  <c r="B22" i="5"/>
  <c r="H10" i="2"/>
  <c r="L5" i="3"/>
  <c r="K16" i="3"/>
  <c r="E22" i="5"/>
  <c r="J9" i="5"/>
  <c r="K7" i="3"/>
  <c r="E9" i="5"/>
  <c r="K5" i="3"/>
  <c r="H24" i="2"/>
  <c r="L7" i="3"/>
  <c r="B7" i="3"/>
  <c r="H9" i="5"/>
  <c r="G9" i="4"/>
  <c r="C9" i="5"/>
  <c r="G5" i="4"/>
  <c r="E10" i="2"/>
  <c r="B7" i="4"/>
  <c r="B18" i="4"/>
  <c r="E24" i="2"/>
  <c r="B3" i="4"/>
  <c r="D10" i="2"/>
  <c r="B14" i="4"/>
  <c r="D24" i="2"/>
  <c r="G18" i="3"/>
  <c r="I22" i="5"/>
  <c r="K18" i="3"/>
  <c r="J22" i="5"/>
  <c r="L18" i="3"/>
  <c r="I24" i="2"/>
  <c r="G20" i="4"/>
  <c r="H22" i="5"/>
  <c r="B18" i="3"/>
</calcChain>
</file>

<file path=xl/sharedStrings.xml><?xml version="1.0" encoding="utf-8"?>
<sst xmlns="http://schemas.openxmlformats.org/spreadsheetml/2006/main" count="527" uniqueCount="104">
  <si>
    <t>Table 1</t>
  </si>
  <si>
    <t>n real 384</t>
  </si>
  <si>
    <t>n 384</t>
  </si>
  <si>
    <t>n 3000</t>
  </si>
  <si>
    <t>n 5000</t>
  </si>
  <si>
    <t>n 7000</t>
  </si>
  <si>
    <t>n 9000</t>
  </si>
  <si>
    <t>n 10677</t>
  </si>
  <si>
    <t>ml 384 sp0</t>
  </si>
  <si>
    <t>ml 3000 sp0</t>
  </si>
  <si>
    <t>ml 5000 sp0</t>
  </si>
  <si>
    <t>ml 7000 sp0</t>
  </si>
  <si>
    <t>ml 9000 sp0</t>
  </si>
  <si>
    <t>ml 10677 sp0</t>
  </si>
  <si>
    <t>ml 10677 sp10</t>
  </si>
  <si>
    <t>ml 10677 sp20</t>
  </si>
  <si>
    <t>ml 10677 sp30</t>
  </si>
  <si>
    <t>ml 10677 sp40</t>
  </si>
  <si>
    <t>ml 10677 sp50</t>
  </si>
  <si>
    <t>ml 10677 sp60</t>
  </si>
  <si>
    <t>ml 10677 sp70</t>
  </si>
  <si>
    <t>ml 10677 sp80</t>
  </si>
  <si>
    <t>ml 10677 sp90</t>
  </si>
  <si>
    <t>ml 10677 sp98</t>
  </si>
  <si>
    <t>ml real 10677 sp98</t>
  </si>
  <si>
    <t>CHROMA_NN100</t>
  </si>
  <si>
    <t>news_real_embedings_s69878</t>
  </si>
  <si>
    <t>gen_news_s69878_d384_sp0</t>
  </si>
  <si>
    <t>gen_news_s69878_d3000_sp0</t>
  </si>
  <si>
    <t>gen_news_s69878_d5000_sp0</t>
  </si>
  <si>
    <t>gen_news_s69878_d7000_sp0</t>
  </si>
  <si>
    <t>gen_news_s69878_d9000_sp0</t>
  </si>
  <si>
    <t>gen_news_s69878_d10677_sp0</t>
  </si>
  <si>
    <t>gen_ml_s69878_d384_sp0</t>
  </si>
  <si>
    <t>gen_ml_s69878_d3000_sp0</t>
  </si>
  <si>
    <t>gen_ml_s69878_d5000_sp0</t>
  </si>
  <si>
    <t>gen_ml_s69878_d7000_sp0</t>
  </si>
  <si>
    <t>gen_ml_s69878_d9000_sp0</t>
  </si>
  <si>
    <t>gen_ml_s69878_d10677_sp0</t>
  </si>
  <si>
    <t>gen_ml_s69878_d10677_sp10</t>
  </si>
  <si>
    <t>gen_ml_s69878_d10677_sp20</t>
  </si>
  <si>
    <t>gen_ml_s69878_d10677_sp30</t>
  </si>
  <si>
    <t>gen_ml_s69878_d10677_sp40</t>
  </si>
  <si>
    <t>gen_ml_s69878_d10677_sp50</t>
  </si>
  <si>
    <t>gen_ml_s69878_d10677_sp60</t>
  </si>
  <si>
    <t>gen_ml_s69878_d10677_sp70</t>
  </si>
  <si>
    <t>gen_ml_s69878_d10677_sp80</t>
  </si>
  <si>
    <t>gen_ml_s69878_d10677_sp90</t>
  </si>
  <si>
    <t>gen_ml_s69878_d10677_sp98</t>
  </si>
  <si>
    <t>ml_real_pivoted_na_s69878</t>
  </si>
  <si>
    <t>inp_file='test_news_s600_d384_sp0.csv'</t>
  </si>
  <si>
    <t>inp_file='test_news_s600_d3000_sp0.csv'</t>
  </si>
  <si>
    <t>inp_file='test_news_s600_d5000_sp0.csv'</t>
  </si>
  <si>
    <t>inp_file='test_news_s600_d7000_sp0.csv'</t>
  </si>
  <si>
    <t>inp_file='test_news_s600_d9000_sp0.csv'</t>
  </si>
  <si>
    <t>inp_file='test_news_s600_d10677_sp0.csv'</t>
  </si>
  <si>
    <t>inp_file='test_ml_s600_d384_sp0.csv'</t>
  </si>
  <si>
    <t>inp_file='test_ml_s600_d3000_sp0.csv'</t>
  </si>
  <si>
    <t>inp_file='test_ml_s600_d5000_sp0.csv'</t>
  </si>
  <si>
    <t>inp_file='test_ml_s600_d7000_sp0.csv'</t>
  </si>
  <si>
    <t>inp_file='test_ml_s600_d9000_sp0.csv'</t>
  </si>
  <si>
    <t>inp_file='test_ml_s600_d10677_sp0.csv'</t>
  </si>
  <si>
    <t>avg</t>
  </si>
  <si>
    <t>CHROMA_NN2500</t>
  </si>
  <si>
    <t>en_news_s69878_d5000_sp0</t>
  </si>
  <si>
    <t>init client</t>
  </si>
  <si>
    <t>QDRANT.D_NN100</t>
  </si>
  <si>
    <t>QDRANT.D.nn2500</t>
  </si>
  <si>
    <t>RETESTING</t>
  </si>
  <si>
    <t>dimension= 384</t>
  </si>
  <si>
    <t>dimension= 3000</t>
  </si>
  <si>
    <t>dimension= 5000</t>
  </si>
  <si>
    <t>dimension= 7000</t>
  </si>
  <si>
    <t>dimension= 9000</t>
  </si>
  <si>
    <t>dimension= 10677</t>
  </si>
  <si>
    <t>real</t>
  </si>
  <si>
    <t>gen</t>
  </si>
  <si>
    <t>100 nn</t>
  </si>
  <si>
    <t>news</t>
  </si>
  <si>
    <t>chroma</t>
  </si>
  <si>
    <t>qdrant</t>
  </si>
  <si>
    <t>AVG</t>
  </si>
  <si>
    <t>ml</t>
  </si>
  <si>
    <t>2500nn</t>
  </si>
  <si>
    <t>sp</t>
  </si>
  <si>
    <t>100nn</t>
  </si>
  <si>
    <t>dim</t>
  </si>
  <si>
    <t>chroma, news</t>
  </si>
  <si>
    <t>qdrant, news</t>
  </si>
  <si>
    <t>qdrant, ml</t>
  </si>
  <si>
    <t>chroma, ml</t>
  </si>
  <si>
    <t>Chroma</t>
  </si>
  <si>
    <t>News 10677</t>
  </si>
  <si>
    <t>ML sp0</t>
  </si>
  <si>
    <t>ML sp50</t>
  </si>
  <si>
    <t>ML sp90</t>
  </si>
  <si>
    <t>Qdrant</t>
  </si>
  <si>
    <t>dev</t>
  </si>
  <si>
    <t>min</t>
  </si>
  <si>
    <t>max</t>
  </si>
  <si>
    <t>STDEV</t>
  </si>
  <si>
    <t>MIN</t>
  </si>
  <si>
    <t>MAX</t>
  </si>
  <si>
    <t>СІ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</si>
</sst>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12"/>
      <name val="Helvetica Neue"/>
    </font>
    <font>
      <sz val="10"/>
      <color indexed="12"/>
      <name val="Helvetica Neue"/>
    </font>
    <font>
      <b/>
      <sz val="10"/>
      <color indexed="8"/>
      <name val="Helvetica Neue"/>
      <charset val="204"/>
    </font>
    <font>
      <sz val="10"/>
      <color theme="1"/>
      <name val="Helvetica Neue"/>
    </font>
    <font>
      <b/>
      <sz val="10"/>
      <color theme="1"/>
      <name val="Helvetica Neue"/>
    </font>
    <font>
      <b/>
      <sz val="10"/>
      <color indexed="12"/>
      <name val="Helvetica Neue"/>
      <charset val="204"/>
    </font>
    <font>
      <sz val="10"/>
      <color rgb="FFFF0000"/>
      <name val="Helvetica Neue"/>
    </font>
    <font>
      <b/>
      <sz val="10"/>
      <color rgb="FFFF0000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3" fillId="2" borderId="1" xfId="0" applyNumberFormat="1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0" borderId="2" xfId="0" applyFont="1" applyBorder="1">
      <alignment vertical="top" wrapText="1"/>
    </xf>
    <xf numFmtId="49" fontId="3" fillId="0" borderId="2" xfId="0" applyNumberFormat="1" applyFont="1" applyBorder="1">
      <alignment vertical="top" wrapText="1"/>
    </xf>
    <xf numFmtId="49" fontId="2" fillId="0" borderId="2" xfId="0" applyNumberFormat="1" applyFont="1" applyBorder="1">
      <alignment vertical="top" wrapText="1"/>
    </xf>
    <xf numFmtId="0" fontId="0" fillId="0" borderId="3" xfId="0" applyBorder="1">
      <alignment vertical="top" wrapText="1"/>
    </xf>
    <xf numFmtId="49" fontId="4" fillId="0" borderId="3" xfId="0" applyNumberFormat="1" applyFont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0" fontId="4" fillId="0" borderId="3" xfId="0" applyNumberFormat="1" applyFont="1" applyBorder="1">
      <alignment vertical="top" wrapText="1"/>
    </xf>
    <xf numFmtId="49" fontId="2" fillId="0" borderId="3" xfId="0" applyNumberFormat="1" applyFont="1" applyBorder="1">
      <alignment vertical="top" wrapText="1"/>
    </xf>
    <xf numFmtId="0" fontId="3" fillId="0" borderId="3" xfId="0" applyNumberFormat="1" applyFont="1" applyBorder="1">
      <alignment vertical="top" wrapText="1"/>
    </xf>
    <xf numFmtId="0" fontId="2" fillId="0" borderId="3" xfId="0" applyNumberFormat="1" applyFont="1" applyBorder="1">
      <alignment vertical="top" wrapText="1"/>
    </xf>
    <xf numFmtId="0" fontId="2" fillId="0" borderId="3" xfId="0" applyFont="1" applyBorder="1">
      <alignment vertical="top" wrapText="1"/>
    </xf>
    <xf numFmtId="0" fontId="4" fillId="0" borderId="3" xfId="0" applyFont="1" applyBorder="1">
      <alignment vertical="top" wrapText="1"/>
    </xf>
    <xf numFmtId="49" fontId="3" fillId="0" borderId="3" xfId="0" applyNumberFormat="1" applyFont="1" applyBorder="1">
      <alignment vertical="top" wrapText="1"/>
    </xf>
    <xf numFmtId="0" fontId="0" fillId="0" borderId="0" xfId="0" applyAlignment="1"/>
    <xf numFmtId="2" fontId="0" fillId="0" borderId="0" xfId="0" applyNumberForma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shrinkToFit="1"/>
    </xf>
    <xf numFmtId="2" fontId="0" fillId="0" borderId="0" xfId="0" applyNumberFormat="1" applyAlignment="1">
      <alignment vertical="top" shrinkToFit="1"/>
    </xf>
    <xf numFmtId="0" fontId="0" fillId="0" borderId="0" xfId="0" applyAlignment="1">
      <alignment horizontal="right" vertical="top" shrinkToFit="1"/>
    </xf>
    <xf numFmtId="2" fontId="5" fillId="0" borderId="0" xfId="0" applyNumberFormat="1" applyFont="1">
      <alignment vertical="top" wrapText="1"/>
    </xf>
    <xf numFmtId="0" fontId="6" fillId="3" borderId="3" xfId="0" applyFont="1" applyFill="1" applyBorder="1">
      <alignment vertical="top" wrapText="1"/>
    </xf>
    <xf numFmtId="0" fontId="7" fillId="3" borderId="3" xfId="0" applyFont="1" applyFill="1" applyBorder="1">
      <alignment vertical="top" wrapText="1"/>
    </xf>
    <xf numFmtId="49" fontId="6" fillId="3" borderId="3" xfId="0" applyNumberFormat="1" applyFont="1" applyFill="1" applyBorder="1">
      <alignment vertical="top" wrapText="1"/>
    </xf>
    <xf numFmtId="0" fontId="0" fillId="3" borderId="3" xfId="0" applyFill="1" applyBorder="1">
      <alignment vertical="top" wrapText="1"/>
    </xf>
    <xf numFmtId="0" fontId="7" fillId="3" borderId="3" xfId="0" applyNumberFormat="1" applyFont="1" applyFill="1" applyBorder="1">
      <alignment vertical="top" wrapText="1"/>
    </xf>
    <xf numFmtId="49" fontId="5" fillId="0" borderId="3" xfId="0" applyNumberFormat="1" applyFont="1" applyBorder="1">
      <alignment vertical="top" wrapText="1"/>
    </xf>
    <xf numFmtId="0" fontId="8" fillId="0" borderId="3" xfId="0" applyNumberFormat="1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0" xfId="0" applyNumberFormat="1" applyFont="1">
      <alignment vertical="top" wrapText="1"/>
    </xf>
    <xf numFmtId="0" fontId="8" fillId="0" borderId="3" xfId="0" applyFont="1" applyBorder="1">
      <alignment vertical="top" wrapText="1"/>
    </xf>
    <xf numFmtId="0" fontId="9" fillId="0" borderId="0" xfId="0" applyFont="1">
      <alignment vertical="top" wrapText="1"/>
    </xf>
    <xf numFmtId="2" fontId="10" fillId="0" borderId="0" xfId="0" applyNumberFormat="1" applyFont="1">
      <alignment vertical="top" wrapText="1"/>
    </xf>
    <xf numFmtId="2" fontId="9" fillId="0" borderId="0" xfId="0" applyNumberFormat="1" applyFont="1" applyAlignment="1">
      <alignment vertical="top" shrinkToFit="1"/>
    </xf>
    <xf numFmtId="0" fontId="9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2" fontId="9" fillId="0" borderId="0" xfId="0" applyNumberFormat="1" applyFont="1">
      <alignment vertical="top" wrapText="1"/>
    </xf>
    <xf numFmtId="0" fontId="5" fillId="0" borderId="0" xfId="0" applyFont="1" applyAlignment="1">
      <alignment horizontal="right" vertical="top" shrinkToFit="1"/>
    </xf>
    <xf numFmtId="2" fontId="5" fillId="0" borderId="0" xfId="0" applyNumberFormat="1" applyFont="1" applyAlignment="1">
      <alignment vertical="top" shrinkToFit="1"/>
    </xf>
    <xf numFmtId="0" fontId="5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Звичайни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ED220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Chroma, ML 100NN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3831463362587241E-3"/>
                  <c:y val="-4.3543723319136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D-4783-A8C3-92F38CE38788}"/>
                </c:ext>
              </c:extLst>
            </c:dLbl>
            <c:dLbl>
              <c:idx val="10"/>
              <c:layout>
                <c:manualLayout>
                  <c:x val="-2.5204482203760949E-2"/>
                  <c:y val="-3.7139601904409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08-4ABE-80EF-632EEF35F9F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sparsity!$B$6:$L$6</c:f>
                <c:numCache>
                  <c:formatCode>General</c:formatCode>
                  <c:ptCount val="11"/>
                  <c:pt idx="0">
                    <c:v>0.16225244455105933</c:v>
                  </c:pt>
                  <c:pt idx="1">
                    <c:v>2.7653480710338758E-2</c:v>
                  </c:pt>
                  <c:pt idx="2">
                    <c:v>0.26679881904524932</c:v>
                  </c:pt>
                  <c:pt idx="3">
                    <c:v>0.21217418153584774</c:v>
                  </c:pt>
                  <c:pt idx="4">
                    <c:v>0.10910565354888169</c:v>
                  </c:pt>
                  <c:pt idx="5">
                    <c:v>0.14832582319395363</c:v>
                  </c:pt>
                  <c:pt idx="6">
                    <c:v>5.4416612667686957E-2</c:v>
                  </c:pt>
                  <c:pt idx="7">
                    <c:v>0.27915702771116796</c:v>
                  </c:pt>
                  <c:pt idx="8">
                    <c:v>0.20134326214339235</c:v>
                  </c:pt>
                  <c:pt idx="9">
                    <c:v>0.57829890538518269</c:v>
                  </c:pt>
                  <c:pt idx="10">
                    <c:v>0.23867452949876874</c:v>
                  </c:pt>
                </c:numCache>
              </c:numRef>
            </c:plus>
            <c:minus>
              <c:numRef>
                <c:f>sparsity!$B$6:$L$6</c:f>
                <c:numCache>
                  <c:formatCode>General</c:formatCode>
                  <c:ptCount val="11"/>
                  <c:pt idx="0">
                    <c:v>0.16225244455105933</c:v>
                  </c:pt>
                  <c:pt idx="1">
                    <c:v>2.7653480710338758E-2</c:v>
                  </c:pt>
                  <c:pt idx="2">
                    <c:v>0.26679881904524932</c:v>
                  </c:pt>
                  <c:pt idx="3">
                    <c:v>0.21217418153584774</c:v>
                  </c:pt>
                  <c:pt idx="4">
                    <c:v>0.10910565354888169</c:v>
                  </c:pt>
                  <c:pt idx="5">
                    <c:v>0.14832582319395363</c:v>
                  </c:pt>
                  <c:pt idx="6">
                    <c:v>5.4416612667686957E-2</c:v>
                  </c:pt>
                  <c:pt idx="7">
                    <c:v>0.27915702771116796</c:v>
                  </c:pt>
                  <c:pt idx="8">
                    <c:v>0.20134326214339235</c:v>
                  </c:pt>
                  <c:pt idx="9">
                    <c:v>0.57829890538518269</c:v>
                  </c:pt>
                  <c:pt idx="10">
                    <c:v>0.23867452949876874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sparsity!$B$4:$L$4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98.66</c:v>
                </c:pt>
              </c:numCache>
            </c:numRef>
          </c:xVal>
          <c:yVal>
            <c:numRef>
              <c:f>sparsity!$B$5:$L$5</c:f>
              <c:numCache>
                <c:formatCode>0.00</c:formatCode>
                <c:ptCount val="11"/>
                <c:pt idx="0">
                  <c:v>1.8789812564849862</c:v>
                </c:pt>
                <c:pt idx="1">
                  <c:v>1.6811819553375262</c:v>
                </c:pt>
                <c:pt idx="2">
                  <c:v>1.8815799236297621</c:v>
                </c:pt>
                <c:pt idx="3">
                  <c:v>1.9089428901672381</c:v>
                </c:pt>
                <c:pt idx="4">
                  <c:v>1.9543639659881582</c:v>
                </c:pt>
                <c:pt idx="5">
                  <c:v>2.0002378463745139</c:v>
                </c:pt>
                <c:pt idx="6">
                  <c:v>1.878424549102786</c:v>
                </c:pt>
                <c:pt idx="7">
                  <c:v>2.0402544021606439</c:v>
                </c:pt>
                <c:pt idx="8">
                  <c:v>2.0659751415252701</c:v>
                </c:pt>
                <c:pt idx="9">
                  <c:v>2.3212345123291001</c:v>
                </c:pt>
                <c:pt idx="10">
                  <c:v>1.97739143371582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8D-4783-A8C3-92F38CE38788}"/>
            </c:ext>
          </c:extLst>
        </c:ser>
        <c:ser>
          <c:idx val="1"/>
          <c:order val="1"/>
          <c:tx>
            <c:v>Chroma, ML 2500NN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4008787947167114E-3"/>
                  <c:y val="-2.85482898027889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8D-4783-A8C3-92F38CE38788}"/>
                </c:ext>
              </c:extLst>
            </c:dLbl>
            <c:dLbl>
              <c:idx val="8"/>
              <c:layout>
                <c:manualLayout>
                  <c:x val="-5.1130873676610615E-2"/>
                  <c:y val="-2.49541690717280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15-486D-BDF2-BC885FD789FD}"/>
                </c:ext>
              </c:extLst>
            </c:dLbl>
            <c:dLbl>
              <c:idx val="9"/>
              <c:layout>
                <c:manualLayout>
                  <c:x val="-4.5171943941467972E-2"/>
                  <c:y val="-3.2294260850654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08-4ABE-80EF-632EEF35F9F3}"/>
                </c:ext>
              </c:extLst>
            </c:dLbl>
            <c:dLbl>
              <c:idx val="10"/>
              <c:layout>
                <c:manualLayout>
                  <c:x val="-2.7153113966901687E-2"/>
                  <c:y val="-2.218658616371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08-4ABE-80EF-632EEF35F9F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sparsity!$B$17:$L$17</c:f>
                <c:numCache>
                  <c:formatCode>General</c:formatCode>
                  <c:ptCount val="11"/>
                  <c:pt idx="0">
                    <c:v>1.8977839575082138</c:v>
                  </c:pt>
                  <c:pt idx="1">
                    <c:v>4.9834346131807643E-2</c:v>
                  </c:pt>
                  <c:pt idx="2">
                    <c:v>0.29084623145808686</c:v>
                  </c:pt>
                  <c:pt idx="3">
                    <c:v>5.7691571209262084E-2</c:v>
                  </c:pt>
                  <c:pt idx="4">
                    <c:v>0.12351649469160367</c:v>
                  </c:pt>
                  <c:pt idx="5">
                    <c:v>0.19186344015820012</c:v>
                  </c:pt>
                  <c:pt idx="6">
                    <c:v>0.37989676348492152</c:v>
                  </c:pt>
                  <c:pt idx="7">
                    <c:v>0.24835936244298135</c:v>
                  </c:pt>
                  <c:pt idx="8">
                    <c:v>0.91237690408108885</c:v>
                  </c:pt>
                  <c:pt idx="9">
                    <c:v>0.35012509508710876</c:v>
                  </c:pt>
                  <c:pt idx="10">
                    <c:v>0.32623197457318059</c:v>
                  </c:pt>
                </c:numCache>
              </c:numRef>
            </c:plus>
            <c:minus>
              <c:numRef>
                <c:f>sparsity!$B$17:$L$17</c:f>
                <c:numCache>
                  <c:formatCode>General</c:formatCode>
                  <c:ptCount val="11"/>
                  <c:pt idx="0">
                    <c:v>1.8977839575082138</c:v>
                  </c:pt>
                  <c:pt idx="1">
                    <c:v>4.9834346131807643E-2</c:v>
                  </c:pt>
                  <c:pt idx="2">
                    <c:v>0.29084623145808686</c:v>
                  </c:pt>
                  <c:pt idx="3">
                    <c:v>5.7691571209262084E-2</c:v>
                  </c:pt>
                  <c:pt idx="4">
                    <c:v>0.12351649469160367</c:v>
                  </c:pt>
                  <c:pt idx="5">
                    <c:v>0.19186344015820012</c:v>
                  </c:pt>
                  <c:pt idx="6">
                    <c:v>0.37989676348492152</c:v>
                  </c:pt>
                  <c:pt idx="7">
                    <c:v>0.24835936244298135</c:v>
                  </c:pt>
                  <c:pt idx="8">
                    <c:v>0.91237690408108885</c:v>
                  </c:pt>
                  <c:pt idx="9">
                    <c:v>0.35012509508710876</c:v>
                  </c:pt>
                  <c:pt idx="10">
                    <c:v>0.32623197457318059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sparsity!$B$15:$L$15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98.66</c:v>
                </c:pt>
              </c:numCache>
            </c:numRef>
          </c:xVal>
          <c:yVal>
            <c:numRef>
              <c:f>sparsity!$B$16:$L$16</c:f>
              <c:numCache>
                <c:formatCode>0.00</c:formatCode>
                <c:ptCount val="11"/>
                <c:pt idx="0">
                  <c:v>18.575741434097299</c:v>
                </c:pt>
                <c:pt idx="1">
                  <c:v>18.870171165466303</c:v>
                </c:pt>
                <c:pt idx="2">
                  <c:v>19.493417787551856</c:v>
                </c:pt>
                <c:pt idx="3">
                  <c:v>19.67641468048096</c:v>
                </c:pt>
                <c:pt idx="4">
                  <c:v>20.496056222915659</c:v>
                </c:pt>
                <c:pt idx="5">
                  <c:v>21.104758071899418</c:v>
                </c:pt>
                <c:pt idx="6">
                  <c:v>21.968450498580939</c:v>
                </c:pt>
                <c:pt idx="7">
                  <c:v>22.382797908782958</c:v>
                </c:pt>
                <c:pt idx="8">
                  <c:v>23.399629497528082</c:v>
                </c:pt>
                <c:pt idx="9">
                  <c:v>23.787122058868402</c:v>
                </c:pt>
                <c:pt idx="10">
                  <c:v>23.785337829589839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8D-4783-A8C3-92F38CE38788}"/>
            </c:ext>
          </c:extLst>
        </c:ser>
        <c:ser>
          <c:idx val="2"/>
          <c:order val="2"/>
          <c:tx>
            <c:v>Qdrant, ML 100NN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6111827135301803E-4"/>
                  <c:y val="-4.4616109774759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08-4ABE-80EF-632EEF35F9F3}"/>
                </c:ext>
              </c:extLst>
            </c:dLbl>
            <c:dLbl>
              <c:idx val="10"/>
              <c:layout>
                <c:manualLayout>
                  <c:x val="-2.8720768562369551E-2"/>
                  <c:y val="-3.4647432614293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08-4ABE-80EF-632EEF35F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sparsity!$B$8:$L$8</c:f>
                <c:numCache>
                  <c:formatCode>General</c:formatCode>
                  <c:ptCount val="11"/>
                  <c:pt idx="0">
                    <c:v>6.5167511135767756E-2</c:v>
                  </c:pt>
                  <c:pt idx="1">
                    <c:v>9.3920934543501464E-2</c:v>
                  </c:pt>
                  <c:pt idx="2">
                    <c:v>5.2736213653793572E-2</c:v>
                  </c:pt>
                  <c:pt idx="3">
                    <c:v>5.802544009718056E-2</c:v>
                  </c:pt>
                  <c:pt idx="4">
                    <c:v>5.6234901596298723E-2</c:v>
                  </c:pt>
                  <c:pt idx="5">
                    <c:v>8.714322347201052E-2</c:v>
                  </c:pt>
                  <c:pt idx="6">
                    <c:v>0.53185608501270776</c:v>
                  </c:pt>
                  <c:pt idx="7">
                    <c:v>7.1510323210989518E-2</c:v>
                  </c:pt>
                  <c:pt idx="8">
                    <c:v>5.6322002929347137E-2</c:v>
                  </c:pt>
                  <c:pt idx="9">
                    <c:v>3.532488982638185E-2</c:v>
                  </c:pt>
                  <c:pt idx="10">
                    <c:v>0.10855762977991093</c:v>
                  </c:pt>
                </c:numCache>
              </c:numRef>
            </c:plus>
            <c:minus>
              <c:numRef>
                <c:f>sparsity!$B$8:$L$8</c:f>
                <c:numCache>
                  <c:formatCode>General</c:formatCode>
                  <c:ptCount val="11"/>
                  <c:pt idx="0">
                    <c:v>6.5167511135767756E-2</c:v>
                  </c:pt>
                  <c:pt idx="1">
                    <c:v>9.3920934543501464E-2</c:v>
                  </c:pt>
                  <c:pt idx="2">
                    <c:v>5.2736213653793572E-2</c:v>
                  </c:pt>
                  <c:pt idx="3">
                    <c:v>5.802544009718056E-2</c:v>
                  </c:pt>
                  <c:pt idx="4">
                    <c:v>5.6234901596298723E-2</c:v>
                  </c:pt>
                  <c:pt idx="5">
                    <c:v>8.714322347201052E-2</c:v>
                  </c:pt>
                  <c:pt idx="6">
                    <c:v>0.53185608501270776</c:v>
                  </c:pt>
                  <c:pt idx="7">
                    <c:v>7.1510323210989518E-2</c:v>
                  </c:pt>
                  <c:pt idx="8">
                    <c:v>5.6322002929347137E-2</c:v>
                  </c:pt>
                  <c:pt idx="9">
                    <c:v>3.532488982638185E-2</c:v>
                  </c:pt>
                  <c:pt idx="10">
                    <c:v>0.10855762977991093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sparsity!$B$4:$L$4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98.66</c:v>
                </c:pt>
              </c:numCache>
            </c:numRef>
          </c:xVal>
          <c:yVal>
            <c:numRef>
              <c:f>sparsity!$B$7:$L$7</c:f>
              <c:numCache>
                <c:formatCode>0.00</c:formatCode>
                <c:ptCount val="11"/>
                <c:pt idx="0">
                  <c:v>4.68902988433838</c:v>
                </c:pt>
                <c:pt idx="1">
                  <c:v>4.6398799896240241</c:v>
                </c:pt>
                <c:pt idx="2">
                  <c:v>4.6847342491149897</c:v>
                </c:pt>
                <c:pt idx="3">
                  <c:v>4.7981654644012455</c:v>
                </c:pt>
                <c:pt idx="4">
                  <c:v>4.9018929481506364</c:v>
                </c:pt>
                <c:pt idx="5">
                  <c:v>5.0097172260284406</c:v>
                </c:pt>
                <c:pt idx="6">
                  <c:v>5.2976587772369381</c:v>
                </c:pt>
                <c:pt idx="7">
                  <c:v>5.2266609668731681</c:v>
                </c:pt>
                <c:pt idx="8">
                  <c:v>5.417521905899048</c:v>
                </c:pt>
                <c:pt idx="9">
                  <c:v>5.5564671516418453</c:v>
                </c:pt>
                <c:pt idx="10">
                  <c:v>5.6892436981201175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8D-4783-A8C3-92F38CE38788}"/>
            </c:ext>
          </c:extLst>
        </c:ser>
        <c:ser>
          <c:idx val="3"/>
          <c:order val="3"/>
          <c:tx>
            <c:v>Qdrant, ML 2500NN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50819520834458E-3"/>
                  <c:y val="-3.9631771194526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08-4ABE-80EF-632EEF35F9F3}"/>
                </c:ext>
              </c:extLst>
            </c:dLbl>
            <c:dLbl>
              <c:idx val="10"/>
              <c:layout>
                <c:manualLayout>
                  <c:x val="-2.7153113966901687E-2"/>
                  <c:y val="-3.4647432614293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08-4ABE-80EF-632EEF35F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sparsity!$B$19:$L$19</c:f>
                <c:numCache>
                  <c:formatCode>General</c:formatCode>
                  <c:ptCount val="11"/>
                  <c:pt idx="0">
                    <c:v>8.9064561273534654E-2</c:v>
                  </c:pt>
                  <c:pt idx="1">
                    <c:v>3.4478462599970873E-2</c:v>
                  </c:pt>
                  <c:pt idx="2">
                    <c:v>8.9176377824572689E-2</c:v>
                  </c:pt>
                  <c:pt idx="3">
                    <c:v>8.4701763334309163E-2</c:v>
                  </c:pt>
                  <c:pt idx="4">
                    <c:v>8.4168139564030769E-2</c:v>
                  </c:pt>
                  <c:pt idx="5">
                    <c:v>0.22650798047120183</c:v>
                  </c:pt>
                  <c:pt idx="6">
                    <c:v>0.26719213971672168</c:v>
                  </c:pt>
                  <c:pt idx="7">
                    <c:v>0.1097541209572224</c:v>
                  </c:pt>
                  <c:pt idx="8">
                    <c:v>8.7065318356866539E-2</c:v>
                  </c:pt>
                  <c:pt idx="9">
                    <c:v>0.16757487007526031</c:v>
                  </c:pt>
                  <c:pt idx="10">
                    <c:v>4.7501703406654772E-2</c:v>
                  </c:pt>
                </c:numCache>
              </c:numRef>
            </c:plus>
            <c:minus>
              <c:numRef>
                <c:f>sparsity!$B$19:$L$19</c:f>
                <c:numCache>
                  <c:formatCode>General</c:formatCode>
                  <c:ptCount val="11"/>
                  <c:pt idx="0">
                    <c:v>8.9064561273534654E-2</c:v>
                  </c:pt>
                  <c:pt idx="1">
                    <c:v>3.4478462599970873E-2</c:v>
                  </c:pt>
                  <c:pt idx="2">
                    <c:v>8.9176377824572689E-2</c:v>
                  </c:pt>
                  <c:pt idx="3">
                    <c:v>8.4701763334309163E-2</c:v>
                  </c:pt>
                  <c:pt idx="4">
                    <c:v>8.4168139564030769E-2</c:v>
                  </c:pt>
                  <c:pt idx="5">
                    <c:v>0.22650798047120183</c:v>
                  </c:pt>
                  <c:pt idx="6">
                    <c:v>0.26719213971672168</c:v>
                  </c:pt>
                  <c:pt idx="7">
                    <c:v>0.1097541209572224</c:v>
                  </c:pt>
                  <c:pt idx="8">
                    <c:v>8.7065318356866539E-2</c:v>
                  </c:pt>
                  <c:pt idx="9">
                    <c:v>0.16757487007526031</c:v>
                  </c:pt>
                  <c:pt idx="10">
                    <c:v>4.7501703406654772E-2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sparsity!$B$15:$L$15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98.66</c:v>
                </c:pt>
              </c:numCache>
            </c:numRef>
          </c:xVal>
          <c:yVal>
            <c:numRef>
              <c:f>sparsity!$B$18:$L$18</c:f>
              <c:numCache>
                <c:formatCode>0.00</c:formatCode>
                <c:ptCount val="11"/>
                <c:pt idx="0">
                  <c:v>12.09770650863646</c:v>
                </c:pt>
                <c:pt idx="1">
                  <c:v>12.192800521850581</c:v>
                </c:pt>
                <c:pt idx="2">
                  <c:v>12.33870306015012</c:v>
                </c:pt>
                <c:pt idx="3">
                  <c:v>12.78703536987304</c:v>
                </c:pt>
                <c:pt idx="4">
                  <c:v>13.35418190956114</c:v>
                </c:pt>
                <c:pt idx="5">
                  <c:v>13.82445855140686</c:v>
                </c:pt>
                <c:pt idx="6">
                  <c:v>14.1121973514557</c:v>
                </c:pt>
                <c:pt idx="7">
                  <c:v>15.037060980411379</c:v>
                </c:pt>
                <c:pt idx="8">
                  <c:v>15.64603961005626</c:v>
                </c:pt>
                <c:pt idx="9">
                  <c:v>16.511051559448241</c:v>
                </c:pt>
                <c:pt idx="10">
                  <c:v>17.098332548141499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8D-4783-A8C3-92F38CE38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309376"/>
        <c:axId val="878330016"/>
      </c:scatterChart>
      <c:valAx>
        <c:axId val="8783093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Sparsity,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30016"/>
        <c:crosses val="autoZero"/>
        <c:crossBetween val="midCat"/>
        <c:majorUnit val="10"/>
        <c:minorUnit val="1"/>
      </c:valAx>
      <c:valAx>
        <c:axId val="8783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Average response time of 100-query batch, seconds</a:t>
                </a:r>
              </a:p>
            </c:rich>
          </c:tx>
          <c:layout>
            <c:manualLayout>
              <c:xMode val="edge"/>
              <c:yMode val="edge"/>
              <c:x val="0.1910176686369976"/>
              <c:y val="0.11964678926352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76961144112827562"/>
          <c:y val="0.44031607771015568"/>
          <c:w val="0.1722329493774927"/>
          <c:h val="0.193400436447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Chroma, News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3861753310396891E-2"/>
                  <c:y val="1.82067581414635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23-49CA-8336-8B27D0175A82}"/>
                </c:ext>
              </c:extLst>
            </c:dLbl>
            <c:dLbl>
              <c:idx val="1"/>
              <c:layout>
                <c:manualLayout>
                  <c:x val="1.5036253834469144E-2"/>
                  <c:y val="-4.0181647788680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94-428D-A0DE-846FBE41DFD3}"/>
                </c:ext>
              </c:extLst>
            </c:dLbl>
            <c:dLbl>
              <c:idx val="5"/>
              <c:layout>
                <c:manualLayout>
                  <c:x val="-4.5950553079691939E-2"/>
                  <c:y val="4.9429241571439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23-49CA-8336-8B27D0175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dimentionality!$B$4:$G$4</c:f>
                <c:numCache>
                  <c:formatCode>General</c:formatCode>
                  <c:ptCount val="6"/>
                  <c:pt idx="0">
                    <c:v>8.6409659690742744E-3</c:v>
                  </c:pt>
                  <c:pt idx="1">
                    <c:v>0.15944946512060151</c:v>
                  </c:pt>
                  <c:pt idx="2">
                    <c:v>4.8332972957973813E-2</c:v>
                  </c:pt>
                  <c:pt idx="3">
                    <c:v>2.5763188732269193E-2</c:v>
                  </c:pt>
                  <c:pt idx="4">
                    <c:v>5.6844999164259932E-2</c:v>
                  </c:pt>
                  <c:pt idx="5">
                    <c:v>0.38348883647139453</c:v>
                  </c:pt>
                </c:numCache>
              </c:numRef>
            </c:plus>
            <c:minus>
              <c:numRef>
                <c:f>dimentionality!$B$4:$G$4</c:f>
                <c:numCache>
                  <c:formatCode>General</c:formatCode>
                  <c:ptCount val="6"/>
                  <c:pt idx="0">
                    <c:v>8.6409659690742744E-3</c:v>
                  </c:pt>
                  <c:pt idx="1">
                    <c:v>0.15944946512060151</c:v>
                  </c:pt>
                  <c:pt idx="2">
                    <c:v>4.8332972957973813E-2</c:v>
                  </c:pt>
                  <c:pt idx="3">
                    <c:v>2.5763188732269193E-2</c:v>
                  </c:pt>
                  <c:pt idx="4">
                    <c:v>5.6844999164259932E-2</c:v>
                  </c:pt>
                  <c:pt idx="5">
                    <c:v>0.38348883647139453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dimentionality!$B$3:$G$3</c:f>
              <c:numCache>
                <c:formatCode>0.00</c:formatCode>
                <c:ptCount val="6"/>
                <c:pt idx="0">
                  <c:v>0.36085314750671377</c:v>
                </c:pt>
                <c:pt idx="1">
                  <c:v>0.84696764945983816</c:v>
                </c:pt>
                <c:pt idx="2">
                  <c:v>1.0491233825683599</c:v>
                </c:pt>
                <c:pt idx="3">
                  <c:v>1.2784921646118159</c:v>
                </c:pt>
                <c:pt idx="4">
                  <c:v>1.6245977878570561</c:v>
                </c:pt>
                <c:pt idx="5">
                  <c:v>1.8702877044677719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3-49CA-8336-8B27D0175A82}"/>
            </c:ext>
          </c:extLst>
        </c:ser>
        <c:ser>
          <c:idx val="1"/>
          <c:order val="1"/>
          <c:tx>
            <c:v>Chroma, ML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529521857512248E-2"/>
                  <c:y val="-2.0772000640704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23-49CA-8336-8B27D0175A82}"/>
                </c:ext>
              </c:extLst>
            </c:dLbl>
            <c:dLbl>
              <c:idx val="5"/>
              <c:layout>
                <c:manualLayout>
                  <c:x val="-4.2429630691214977E-2"/>
                  <c:y val="-3.8728698135391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23-49CA-8336-8B27D0175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dimentionality!$B$6:$G$6</c:f>
                <c:numCache>
                  <c:formatCode>General</c:formatCode>
                  <c:ptCount val="6"/>
                  <c:pt idx="0">
                    <c:v>4.7262167163735144E-2</c:v>
                  </c:pt>
                  <c:pt idx="1">
                    <c:v>1.0960236105298506E-2</c:v>
                  </c:pt>
                  <c:pt idx="2">
                    <c:v>2.6162014505222073E-2</c:v>
                  </c:pt>
                  <c:pt idx="3">
                    <c:v>2.1396851330744246E-2</c:v>
                  </c:pt>
                  <c:pt idx="4">
                    <c:v>4.8688891675956983E-2</c:v>
                  </c:pt>
                  <c:pt idx="5">
                    <c:v>0.16225244455105933</c:v>
                  </c:pt>
                </c:numCache>
              </c:numRef>
            </c:plus>
            <c:minus>
              <c:numRef>
                <c:f>dimentionality!$B$6:$G$6</c:f>
                <c:numCache>
                  <c:formatCode>General</c:formatCode>
                  <c:ptCount val="6"/>
                  <c:pt idx="0">
                    <c:v>4.7262167163735144E-2</c:v>
                  </c:pt>
                  <c:pt idx="1">
                    <c:v>1.0960236105298506E-2</c:v>
                  </c:pt>
                  <c:pt idx="2">
                    <c:v>2.6162014505222073E-2</c:v>
                  </c:pt>
                  <c:pt idx="3">
                    <c:v>2.1396851330744246E-2</c:v>
                  </c:pt>
                  <c:pt idx="4">
                    <c:v>4.8688891675956983E-2</c:v>
                  </c:pt>
                  <c:pt idx="5">
                    <c:v>0.16225244455105933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dimentionality!$B$5:$G$5</c:f>
              <c:numCache>
                <c:formatCode>0.00</c:formatCode>
                <c:ptCount val="6"/>
                <c:pt idx="0">
                  <c:v>0.40299463272094743</c:v>
                </c:pt>
                <c:pt idx="1">
                  <c:v>0.71448059082031257</c:v>
                </c:pt>
                <c:pt idx="2">
                  <c:v>0.97633824348449738</c:v>
                </c:pt>
                <c:pt idx="3">
                  <c:v>1.2167757511138941</c:v>
                </c:pt>
                <c:pt idx="4">
                  <c:v>1.571520757675172</c:v>
                </c:pt>
                <c:pt idx="5">
                  <c:v>1.8789812564849862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3-49CA-8336-8B27D0175A82}"/>
            </c:ext>
          </c:extLst>
        </c:ser>
        <c:ser>
          <c:idx val="2"/>
          <c:order val="2"/>
          <c:tx>
            <c:v>Qdrant, News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dimentionality!$B$8:$G$8</c:f>
                <c:numCache>
                  <c:formatCode>General</c:formatCode>
                  <c:ptCount val="6"/>
                  <c:pt idx="0">
                    <c:v>5.6778373061877913E-2</c:v>
                  </c:pt>
                  <c:pt idx="1">
                    <c:v>3.9444362262532499E-2</c:v>
                  </c:pt>
                  <c:pt idx="2">
                    <c:v>5.7561997967001642E-2</c:v>
                  </c:pt>
                  <c:pt idx="3">
                    <c:v>3.6517290905621093E-2</c:v>
                  </c:pt>
                  <c:pt idx="4">
                    <c:v>3.3966055564759248E-2</c:v>
                  </c:pt>
                  <c:pt idx="5">
                    <c:v>2.4954375164721911E-2</c:v>
                  </c:pt>
                </c:numCache>
              </c:numRef>
            </c:plus>
            <c:minus>
              <c:numRef>
                <c:f>dimentionality!$B$8:$G$8</c:f>
                <c:numCache>
                  <c:formatCode>General</c:formatCode>
                  <c:ptCount val="6"/>
                  <c:pt idx="0">
                    <c:v>5.6778373061877913E-2</c:v>
                  </c:pt>
                  <c:pt idx="1">
                    <c:v>3.9444362262532499E-2</c:v>
                  </c:pt>
                  <c:pt idx="2">
                    <c:v>5.7561997967001642E-2</c:v>
                  </c:pt>
                  <c:pt idx="3">
                    <c:v>3.6517290905621093E-2</c:v>
                  </c:pt>
                  <c:pt idx="4">
                    <c:v>3.3966055564759248E-2</c:v>
                  </c:pt>
                  <c:pt idx="5">
                    <c:v>2.4954375164721911E-2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dimentionality!$B$7:$G$7</c:f>
              <c:numCache>
                <c:formatCode>0.00</c:formatCode>
                <c:ptCount val="6"/>
                <c:pt idx="0">
                  <c:v>0.76133666038513204</c:v>
                </c:pt>
                <c:pt idx="1">
                  <c:v>1.9653762340545662</c:v>
                </c:pt>
                <c:pt idx="2">
                  <c:v>2.8739592075347877</c:v>
                </c:pt>
                <c:pt idx="3">
                  <c:v>3.7767848491668703</c:v>
                </c:pt>
                <c:pt idx="4">
                  <c:v>4.7450544357299798</c:v>
                </c:pt>
                <c:pt idx="5">
                  <c:v>5.4037034511566162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3-49CA-8336-8B27D0175A82}"/>
            </c:ext>
          </c:extLst>
        </c:ser>
        <c:ser>
          <c:idx val="3"/>
          <c:order val="3"/>
          <c:tx>
            <c:v>Qdrant, ML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6207227643797388E-2"/>
                  <c:y val="-2.81530314601744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23-49CA-8336-8B27D0175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dimentionality!$B$10:$G$10</c:f>
                <c:numCache>
                  <c:formatCode>General</c:formatCode>
                  <c:ptCount val="6"/>
                  <c:pt idx="0">
                    <c:v>1.8883938329886496E-2</c:v>
                  </c:pt>
                  <c:pt idx="1">
                    <c:v>2.9726977171564885E-2</c:v>
                  </c:pt>
                  <c:pt idx="2">
                    <c:v>7.2530574463157763E-2</c:v>
                  </c:pt>
                  <c:pt idx="3">
                    <c:v>5.1841158161821978E-2</c:v>
                  </c:pt>
                  <c:pt idx="4">
                    <c:v>5.566087594917099E-2</c:v>
                  </c:pt>
                  <c:pt idx="5">
                    <c:v>6.5167511135767756E-2</c:v>
                  </c:pt>
                </c:numCache>
              </c:numRef>
            </c:plus>
            <c:minus>
              <c:numRef>
                <c:f>dimentionality!$B$10:$G$10</c:f>
                <c:numCache>
                  <c:formatCode>General</c:formatCode>
                  <c:ptCount val="6"/>
                  <c:pt idx="0">
                    <c:v>1.8883938329886496E-2</c:v>
                  </c:pt>
                  <c:pt idx="1">
                    <c:v>2.9726977171564885E-2</c:v>
                  </c:pt>
                  <c:pt idx="2">
                    <c:v>7.2530574463157763E-2</c:v>
                  </c:pt>
                  <c:pt idx="3">
                    <c:v>5.1841158161821978E-2</c:v>
                  </c:pt>
                  <c:pt idx="4">
                    <c:v>5.566087594917099E-2</c:v>
                  </c:pt>
                  <c:pt idx="5">
                    <c:v>6.5167511135767756E-2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dimentionality!$B$9:$G$9</c:f>
              <c:numCache>
                <c:formatCode>0.00</c:formatCode>
                <c:ptCount val="6"/>
                <c:pt idx="0">
                  <c:v>0.72319178581237797</c:v>
                </c:pt>
                <c:pt idx="1">
                  <c:v>1.736548852920532</c:v>
                </c:pt>
                <c:pt idx="2">
                  <c:v>2.5770490169525138</c:v>
                </c:pt>
                <c:pt idx="3">
                  <c:v>3.2657414913177476</c:v>
                </c:pt>
                <c:pt idx="4">
                  <c:v>4.0226851940155024</c:v>
                </c:pt>
                <c:pt idx="5">
                  <c:v>4.68902988433838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3-49CA-8336-8B27D0175A82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878309376"/>
        <c:axId val="878330016"/>
        <c:extLst/>
      </c:scatterChart>
      <c:valAx>
        <c:axId val="8783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dimensions,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30016"/>
        <c:crosses val="autoZero"/>
        <c:crossBetween val="midCat"/>
        <c:majorUnit val="1000"/>
        <c:minorUnit val="100"/>
      </c:valAx>
      <c:valAx>
        <c:axId val="8783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response time of 100-query batch,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2362759740505585"/>
          <c:y val="0.11827343424768408"/>
          <c:w val="0.13295744699714521"/>
          <c:h val="0.16390146054369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Chroma, News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1452810810900615E-2"/>
                  <c:y val="-1.7706636847910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8E-4C3F-A3C8-3B7EE8E5EAF0}"/>
                </c:ext>
              </c:extLst>
            </c:dLbl>
            <c:dLbl>
              <c:idx val="3"/>
              <c:layout>
                <c:manualLayout>
                  <c:x val="-5.8303556048449466E-2"/>
                  <c:y val="-1.9491858388139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69-40BA-8E30-5673166032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dimentionality!$B$15:$G$15</c:f>
                <c:numCache>
                  <c:formatCode>General</c:formatCode>
                  <c:ptCount val="6"/>
                  <c:pt idx="0">
                    <c:v>5.6722402777134799E-2</c:v>
                  </c:pt>
                  <c:pt idx="1">
                    <c:v>8.9595698542787205E-2</c:v>
                  </c:pt>
                  <c:pt idx="2">
                    <c:v>4.333473305264357E-2</c:v>
                  </c:pt>
                  <c:pt idx="3">
                    <c:v>0.98451007494755338</c:v>
                  </c:pt>
                  <c:pt idx="4">
                    <c:v>1.5444841703746584E-2</c:v>
                  </c:pt>
                  <c:pt idx="5">
                    <c:v>8.7421562796817232E-2</c:v>
                  </c:pt>
                </c:numCache>
              </c:numRef>
            </c:plus>
            <c:minus>
              <c:numRef>
                <c:f>dimentionality!$B$15:$G$15</c:f>
                <c:numCache>
                  <c:formatCode>General</c:formatCode>
                  <c:ptCount val="6"/>
                  <c:pt idx="0">
                    <c:v>5.6722402777134799E-2</c:v>
                  </c:pt>
                  <c:pt idx="1">
                    <c:v>8.9595698542787205E-2</c:v>
                  </c:pt>
                  <c:pt idx="2">
                    <c:v>4.333473305264357E-2</c:v>
                  </c:pt>
                  <c:pt idx="3">
                    <c:v>0.98451007494755338</c:v>
                  </c:pt>
                  <c:pt idx="4">
                    <c:v>1.5444841703746584E-2</c:v>
                  </c:pt>
                  <c:pt idx="5">
                    <c:v>8.7421562796817232E-2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dimentionality!$B$14:$G$14</c:f>
              <c:numCache>
                <c:formatCode>0.00</c:formatCode>
                <c:ptCount val="6"/>
                <c:pt idx="0">
                  <c:v>4.8898669719696066</c:v>
                </c:pt>
                <c:pt idx="1">
                  <c:v>9.1885434150695797</c:v>
                </c:pt>
                <c:pt idx="2">
                  <c:v>12.408020401000979</c:v>
                </c:pt>
                <c:pt idx="3">
                  <c:v>15.79757041931154</c:v>
                </c:pt>
                <c:pt idx="4">
                  <c:v>18.754188203811658</c:v>
                </c:pt>
                <c:pt idx="5">
                  <c:v>21.14332032203674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8E-4C3F-A3C8-3B7EE8E5EAF0}"/>
            </c:ext>
          </c:extLst>
        </c:ser>
        <c:ser>
          <c:idx val="1"/>
          <c:order val="1"/>
          <c:tx>
            <c:v>Chroma, ML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288429820710275E-2"/>
                  <c:y val="-5.23617740661860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8E-4C3F-A3C8-3B7EE8E5EA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dimentionality!$B$17:$G$17</c:f>
                <c:numCache>
                  <c:formatCode>General</c:formatCode>
                  <c:ptCount val="6"/>
                  <c:pt idx="0">
                    <c:v>0.46871242807221419</c:v>
                  </c:pt>
                  <c:pt idx="1">
                    <c:v>0.4817833444837899</c:v>
                  </c:pt>
                  <c:pt idx="2">
                    <c:v>0.29330403344644618</c:v>
                  </c:pt>
                  <c:pt idx="3">
                    <c:v>9.8112737049847021E-2</c:v>
                  </c:pt>
                  <c:pt idx="4">
                    <c:v>0.15519618098293925</c:v>
                  </c:pt>
                  <c:pt idx="5">
                    <c:v>1.8977839575082138</c:v>
                  </c:pt>
                </c:numCache>
              </c:numRef>
            </c:plus>
            <c:minus>
              <c:numRef>
                <c:f>dimentionality!$B$17:$G$17</c:f>
                <c:numCache>
                  <c:formatCode>General</c:formatCode>
                  <c:ptCount val="6"/>
                  <c:pt idx="0">
                    <c:v>0.46871242807221419</c:v>
                  </c:pt>
                  <c:pt idx="1">
                    <c:v>0.4817833444837899</c:v>
                  </c:pt>
                  <c:pt idx="2">
                    <c:v>0.29330403344644618</c:v>
                  </c:pt>
                  <c:pt idx="3">
                    <c:v>9.8112737049847021E-2</c:v>
                  </c:pt>
                  <c:pt idx="4">
                    <c:v>0.15519618098293925</c:v>
                  </c:pt>
                  <c:pt idx="5">
                    <c:v>1.8977839575082138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dimentionality!$B$16:$G$16</c:f>
              <c:numCache>
                <c:formatCode>0.00</c:formatCode>
                <c:ptCount val="6"/>
                <c:pt idx="0">
                  <c:v>5.0459815025329577</c:v>
                </c:pt>
                <c:pt idx="1">
                  <c:v>9.0164863586425792</c:v>
                </c:pt>
                <c:pt idx="2">
                  <c:v>11.44549789428712</c:v>
                </c:pt>
                <c:pt idx="3">
                  <c:v>13.836868906021101</c:v>
                </c:pt>
                <c:pt idx="4">
                  <c:v>16.80327305793762</c:v>
                </c:pt>
                <c:pt idx="5">
                  <c:v>18.575741434097299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8E-4C3F-A3C8-3B7EE8E5EAF0}"/>
            </c:ext>
          </c:extLst>
        </c:ser>
        <c:ser>
          <c:idx val="2"/>
          <c:order val="2"/>
          <c:tx>
            <c:v>Qdrant, News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3047736185436119E-2"/>
                  <c:y val="-1.5682529562954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8E-4C3F-A3C8-3B7EE8E5EA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dimentionality!$B$19:$G$19</c:f>
                <c:numCache>
                  <c:formatCode>General</c:formatCode>
                  <c:ptCount val="6"/>
                  <c:pt idx="0">
                    <c:v>0.50926812731001236</c:v>
                  </c:pt>
                  <c:pt idx="1">
                    <c:v>7.7017722060688076E-2</c:v>
                  </c:pt>
                  <c:pt idx="2">
                    <c:v>9.6403003598433443E-2</c:v>
                  </c:pt>
                  <c:pt idx="3">
                    <c:v>0.12378629358820892</c:v>
                  </c:pt>
                  <c:pt idx="4">
                    <c:v>7.5212864103612193E-2</c:v>
                  </c:pt>
                  <c:pt idx="5">
                    <c:v>0.22753750241460841</c:v>
                  </c:pt>
                </c:numCache>
              </c:numRef>
            </c:plus>
            <c:minus>
              <c:numRef>
                <c:f>dimentionality!$B$19:$G$19</c:f>
                <c:numCache>
                  <c:formatCode>General</c:formatCode>
                  <c:ptCount val="6"/>
                  <c:pt idx="0">
                    <c:v>0.50926812731001236</c:v>
                  </c:pt>
                  <c:pt idx="1">
                    <c:v>7.7017722060688076E-2</c:v>
                  </c:pt>
                  <c:pt idx="2">
                    <c:v>9.6403003598433443E-2</c:v>
                  </c:pt>
                  <c:pt idx="3">
                    <c:v>0.12378629358820892</c:v>
                  </c:pt>
                  <c:pt idx="4">
                    <c:v>7.5212864103612193E-2</c:v>
                  </c:pt>
                  <c:pt idx="5">
                    <c:v>0.22753750241460841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dimentionality!$B$18:$G$18</c:f>
              <c:numCache>
                <c:formatCode>0.00</c:formatCode>
                <c:ptCount val="6"/>
                <c:pt idx="0">
                  <c:v>3.5175210475921639</c:v>
                </c:pt>
                <c:pt idx="1">
                  <c:v>5.9774671077728261</c:v>
                </c:pt>
                <c:pt idx="2">
                  <c:v>8.2970446109771743</c:v>
                </c:pt>
                <c:pt idx="3">
                  <c:v>10.515591573715199</c:v>
                </c:pt>
                <c:pt idx="4">
                  <c:v>13.04303765296936</c:v>
                </c:pt>
                <c:pt idx="5">
                  <c:v>15.084564590454098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8E-4C3F-A3C8-3B7EE8E5EAF0}"/>
            </c:ext>
          </c:extLst>
        </c:ser>
        <c:ser>
          <c:idx val="3"/>
          <c:order val="3"/>
          <c:tx>
            <c:v>Qdrant, ML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6207227643797388E-2"/>
                  <c:y val="-2.81530314601744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8E-4C3F-A3C8-3B7EE8E5EA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dimentionality!$B$21:$G$21</c:f>
                <c:numCache>
                  <c:formatCode>General</c:formatCode>
                  <c:ptCount val="6"/>
                  <c:pt idx="0">
                    <c:v>4.6851043683724336E-2</c:v>
                  </c:pt>
                  <c:pt idx="1">
                    <c:v>4.0786916906186917E-2</c:v>
                  </c:pt>
                  <c:pt idx="2">
                    <c:v>3.7625223712441293E-2</c:v>
                  </c:pt>
                  <c:pt idx="3">
                    <c:v>7.8473286324071204E-2</c:v>
                  </c:pt>
                  <c:pt idx="4">
                    <c:v>7.9594919432368127E-2</c:v>
                  </c:pt>
                  <c:pt idx="5">
                    <c:v>8.9064561273534654E-2</c:v>
                  </c:pt>
                </c:numCache>
              </c:numRef>
            </c:plus>
            <c:minus>
              <c:numRef>
                <c:f>dimentionality!$B$21:$G$21</c:f>
                <c:numCache>
                  <c:formatCode>General</c:formatCode>
                  <c:ptCount val="6"/>
                  <c:pt idx="0">
                    <c:v>4.6851043683724336E-2</c:v>
                  </c:pt>
                  <c:pt idx="1">
                    <c:v>4.0786916906186917E-2</c:v>
                  </c:pt>
                  <c:pt idx="2">
                    <c:v>3.7625223712441293E-2</c:v>
                  </c:pt>
                  <c:pt idx="3">
                    <c:v>7.8473286324071204E-2</c:v>
                  </c:pt>
                  <c:pt idx="4">
                    <c:v>7.9594919432368127E-2</c:v>
                  </c:pt>
                  <c:pt idx="5">
                    <c:v>8.9064561273534654E-2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dimentionality!$B$2:$G$2</c:f>
              <c:numCache>
                <c:formatCode>General</c:formatCode>
                <c:ptCount val="6"/>
                <c:pt idx="0">
                  <c:v>384</c:v>
                </c:pt>
                <c:pt idx="1">
                  <c:v>3000</c:v>
                </c:pt>
                <c:pt idx="2">
                  <c:v>5000</c:v>
                </c:pt>
                <c:pt idx="3">
                  <c:v>7000</c:v>
                </c:pt>
                <c:pt idx="4">
                  <c:v>9000</c:v>
                </c:pt>
                <c:pt idx="5">
                  <c:v>10677</c:v>
                </c:pt>
              </c:numCache>
            </c:numRef>
          </c:xVal>
          <c:yVal>
            <c:numRef>
              <c:f>dimentionality!$B$20:$G$20</c:f>
              <c:numCache>
                <c:formatCode>0.00</c:formatCode>
                <c:ptCount val="6"/>
                <c:pt idx="0">
                  <c:v>3.055736780166626</c:v>
                </c:pt>
                <c:pt idx="1">
                  <c:v>5.2772180080413822</c:v>
                </c:pt>
                <c:pt idx="2">
                  <c:v>7.0624047756195054</c:v>
                </c:pt>
                <c:pt idx="3">
                  <c:v>8.8974626541137702</c:v>
                </c:pt>
                <c:pt idx="4">
                  <c:v>10.74508457183838</c:v>
                </c:pt>
                <c:pt idx="5">
                  <c:v>12.09770650863646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8E-4C3F-A3C8-3B7EE8E5EAF0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878309376"/>
        <c:axId val="878330016"/>
        <c:extLst/>
      </c:scatterChart>
      <c:valAx>
        <c:axId val="8783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Number of dimensions,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30016"/>
        <c:crosses val="autoZero"/>
        <c:crossBetween val="midCat"/>
        <c:majorUnit val="1000"/>
        <c:minorUnit val="100"/>
      </c:valAx>
      <c:valAx>
        <c:axId val="8783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Average response time of 100-query batch, seconds</a:t>
                </a:r>
              </a:p>
            </c:rich>
          </c:tx>
          <c:layout>
            <c:manualLayout>
              <c:xMode val="edge"/>
              <c:yMode val="edge"/>
              <c:x val="0.15349039966490471"/>
              <c:y val="0.12351582924493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83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31484936421947507"/>
          <c:y val="0.2696227417029049"/>
          <c:w val="0.13347405653861338"/>
          <c:h val="0.190178948241368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19</xdr:row>
      <xdr:rowOff>101600</xdr:rowOff>
    </xdr:from>
    <xdr:to>
      <xdr:col>17</xdr:col>
      <xdr:colOff>447965</xdr:colOff>
      <xdr:row>50</xdr:row>
      <xdr:rowOff>83272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19EB6C4E-98E1-409E-8CDB-4211737EB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25</xdr:col>
      <xdr:colOff>466166</xdr:colOff>
      <xdr:row>40</xdr:row>
      <xdr:rowOff>29549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B5AAA7E4-FFC6-4912-957F-AED433BEA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41</xdr:row>
      <xdr:rowOff>50800</xdr:rowOff>
    </xdr:from>
    <xdr:to>
      <xdr:col>16</xdr:col>
      <xdr:colOff>332816</xdr:colOff>
      <xdr:row>72</xdr:row>
      <xdr:rowOff>80349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FA81D485-3C6E-4FE5-B1BE-AC77C6E1B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"/>
  <sheetViews>
    <sheetView showGridLines="0" view="pageBreakPreview" zoomScale="85" zoomScaleNormal="100" zoomScaleSheetLayoutView="85" workbookViewId="0">
      <pane ySplit="2" topLeftCell="A3" activePane="bottomLeft" state="frozen"/>
      <selection pane="bottomLeft" activeCell="D95" sqref="D95"/>
    </sheetView>
  </sheetViews>
  <sheetFormatPr defaultColWidth="16.33203125" defaultRowHeight="19.95" customHeight="1"/>
  <cols>
    <col min="1" max="28" width="16.33203125" style="1" customWidth="1"/>
    <col min="29" max="16384" width="16.33203125" style="1"/>
  </cols>
  <sheetData>
    <row r="1" spans="1:27" ht="27.6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7" ht="20.25" customHeigh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2"/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3" t="s">
        <v>24</v>
      </c>
      <c r="AA2" s="2"/>
    </row>
    <row r="3" spans="1:27" ht="20.25" customHeight="1">
      <c r="A3" s="5"/>
      <c r="B3" s="6" t="s">
        <v>25</v>
      </c>
      <c r="C3" s="5"/>
      <c r="D3" s="5"/>
      <c r="E3" s="5"/>
      <c r="F3" s="5"/>
      <c r="G3" s="5"/>
      <c r="H3" s="7" t="s">
        <v>25</v>
      </c>
      <c r="I3" s="5"/>
      <c r="J3" s="7" t="s">
        <v>25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 t="s">
        <v>25</v>
      </c>
      <c r="AA3" s="5"/>
    </row>
    <row r="4" spans="1:27" ht="31.95" customHeight="1">
      <c r="A4" s="8"/>
      <c r="B4" s="9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8"/>
      <c r="J4" s="10" t="s">
        <v>33</v>
      </c>
      <c r="K4" s="10" t="s">
        <v>34</v>
      </c>
      <c r="L4" s="10" t="s">
        <v>35</v>
      </c>
      <c r="M4" s="10" t="s">
        <v>36</v>
      </c>
      <c r="N4" s="10" t="s">
        <v>37</v>
      </c>
      <c r="O4" s="10" t="s">
        <v>38</v>
      </c>
      <c r="P4" s="10" t="s">
        <v>39</v>
      </c>
      <c r="Q4" s="10" t="s">
        <v>40</v>
      </c>
      <c r="R4" s="10" t="s">
        <v>41</v>
      </c>
      <c r="S4" s="10" t="s">
        <v>42</v>
      </c>
      <c r="T4" s="10" t="s">
        <v>43</v>
      </c>
      <c r="U4" s="10" t="s">
        <v>44</v>
      </c>
      <c r="V4" s="10" t="s">
        <v>45</v>
      </c>
      <c r="W4" s="10" t="s">
        <v>46</v>
      </c>
      <c r="X4" s="10" t="s">
        <v>47</v>
      </c>
      <c r="Y4" s="10" t="s">
        <v>48</v>
      </c>
      <c r="Z4" s="9" t="s">
        <v>49</v>
      </c>
      <c r="AA4" s="8"/>
    </row>
    <row r="5" spans="1:27" ht="43.95" customHeight="1">
      <c r="A5" s="8"/>
      <c r="B5" s="9" t="s">
        <v>50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8"/>
      <c r="J5" s="10" t="s">
        <v>56</v>
      </c>
      <c r="K5" s="10" t="s">
        <v>57</v>
      </c>
      <c r="L5" s="10" t="s">
        <v>58</v>
      </c>
      <c r="M5" s="10" t="s">
        <v>59</v>
      </c>
      <c r="N5" s="10" t="s">
        <v>60</v>
      </c>
      <c r="O5" s="10" t="s">
        <v>61</v>
      </c>
      <c r="P5" s="10" t="s">
        <v>61</v>
      </c>
      <c r="Q5" s="10" t="s">
        <v>61</v>
      </c>
      <c r="R5" s="10" t="s">
        <v>61</v>
      </c>
      <c r="S5" s="10" t="s">
        <v>61</v>
      </c>
      <c r="T5" s="10" t="s">
        <v>61</v>
      </c>
      <c r="U5" s="10" t="s">
        <v>61</v>
      </c>
      <c r="V5" s="10" t="s">
        <v>61</v>
      </c>
      <c r="W5" s="10" t="s">
        <v>61</v>
      </c>
      <c r="X5" s="10" t="s">
        <v>61</v>
      </c>
      <c r="Y5" s="10" t="s">
        <v>61</v>
      </c>
      <c r="Z5" s="9" t="s">
        <v>61</v>
      </c>
      <c r="AA5" s="8"/>
    </row>
    <row r="6" spans="1:27" ht="19.95" customHeight="1">
      <c r="A6" s="11">
        <v>0</v>
      </c>
      <c r="B6" s="12">
        <v>1.01625108718872</v>
      </c>
      <c r="C6" s="11">
        <v>1.04118704795837</v>
      </c>
      <c r="D6" s="11">
        <v>3.2039649486541801</v>
      </c>
      <c r="E6" s="11">
        <v>3.75381302833557</v>
      </c>
      <c r="F6" s="11">
        <v>4.65222191810608</v>
      </c>
      <c r="G6" s="11">
        <v>7.9514639377594003</v>
      </c>
      <c r="H6" s="11">
        <v>9.1006872653961199</v>
      </c>
      <c r="I6" s="8"/>
      <c r="J6" s="11">
        <v>1.0279121398925799</v>
      </c>
      <c r="K6" s="11">
        <v>2.6773638725280802</v>
      </c>
      <c r="L6" s="11">
        <v>3.7095289230346702</v>
      </c>
      <c r="M6" s="11">
        <v>4.5550088882446298</v>
      </c>
      <c r="N6" s="11">
        <v>6.44659399986267</v>
      </c>
      <c r="O6" s="11">
        <v>9.2727279663085902</v>
      </c>
      <c r="P6" s="11">
        <v>6.4017608165741002</v>
      </c>
      <c r="Q6" s="11">
        <v>7.2020711898803702</v>
      </c>
      <c r="R6" s="11">
        <v>10.1076228618622</v>
      </c>
      <c r="S6" s="11">
        <v>8.8766562938690203</v>
      </c>
      <c r="T6" s="11">
        <v>9.9363911151886004</v>
      </c>
      <c r="U6" s="11">
        <v>7.87721490859985</v>
      </c>
      <c r="V6" s="11">
        <v>8.9525010585784894</v>
      </c>
      <c r="W6" s="11">
        <v>9.6145980358123797</v>
      </c>
      <c r="X6" s="11">
        <v>10.3066849708557</v>
      </c>
      <c r="Y6" s="11">
        <v>8.4126279354095495</v>
      </c>
      <c r="Z6" s="12">
        <v>5.8950760364532497</v>
      </c>
      <c r="AA6" s="8"/>
    </row>
    <row r="7" spans="1:27" ht="19.95" customHeight="1">
      <c r="A7" s="11">
        <v>1</v>
      </c>
      <c r="B7" s="12">
        <v>0.32233619689941401</v>
      </c>
      <c r="C7" s="11">
        <v>0.36156082153320301</v>
      </c>
      <c r="D7" s="11">
        <v>0.888413906097412</v>
      </c>
      <c r="E7" s="11">
        <v>1.10261201858521</v>
      </c>
      <c r="F7" s="11">
        <v>1.27572298049927</v>
      </c>
      <c r="G7" s="11">
        <v>1.7022180557251001</v>
      </c>
      <c r="H7" s="11">
        <v>2.02999687194824</v>
      </c>
      <c r="I7" s="8"/>
      <c r="J7" s="11">
        <v>0.39941096305847201</v>
      </c>
      <c r="K7" s="11">
        <v>0.729442119598389</v>
      </c>
      <c r="L7" s="11">
        <v>1.01365613937378</v>
      </c>
      <c r="M7" s="11">
        <v>1.21061611175537</v>
      </c>
      <c r="N7" s="11">
        <v>1.62146091461182</v>
      </c>
      <c r="O7" s="11">
        <v>2.0804848670959499</v>
      </c>
      <c r="P7" s="11">
        <v>1.68573594093323</v>
      </c>
      <c r="Q7" s="11">
        <v>1.8634457588195801</v>
      </c>
      <c r="R7" s="11">
        <v>2.1892228126525901</v>
      </c>
      <c r="S7" s="11">
        <v>2.0671911239624001</v>
      </c>
      <c r="T7" s="11">
        <v>2.1931707859039302</v>
      </c>
      <c r="U7" s="11">
        <v>1.94601798057556</v>
      </c>
      <c r="V7" s="11">
        <v>2.4390630722045898</v>
      </c>
      <c r="W7" s="11">
        <v>2.3160841464996298</v>
      </c>
      <c r="X7" s="11">
        <v>2.34498810768127</v>
      </c>
      <c r="Y7" s="11">
        <v>2.2450871467590301</v>
      </c>
      <c r="Z7" s="12">
        <v>0.93085408210754395</v>
      </c>
      <c r="AA7" s="8"/>
    </row>
    <row r="8" spans="1:27" ht="19.95" customHeight="1">
      <c r="A8" s="11">
        <v>2</v>
      </c>
      <c r="B8" s="12">
        <v>0.31631088256835899</v>
      </c>
      <c r="C8" s="11">
        <v>0.36437106132507302</v>
      </c>
      <c r="D8" s="11">
        <v>1.05487513542175</v>
      </c>
      <c r="E8" s="11">
        <v>1.0673859119415301</v>
      </c>
      <c r="F8" s="11">
        <v>1.2596359252929701</v>
      </c>
      <c r="G8" s="11">
        <v>1.6178398132324201</v>
      </c>
      <c r="H8" s="11">
        <v>2.2961738109588601</v>
      </c>
      <c r="I8" s="8"/>
      <c r="J8" s="11">
        <v>0.40310883522033703</v>
      </c>
      <c r="K8" s="11">
        <v>0.71185684204101596</v>
      </c>
      <c r="L8" s="11">
        <v>0.96672916412353505</v>
      </c>
      <c r="M8" s="11">
        <v>1.21177983283997</v>
      </c>
      <c r="N8" s="11">
        <v>1.6057200431823699</v>
      </c>
      <c r="O8" s="11">
        <v>1.93723487854004</v>
      </c>
      <c r="P8" s="11">
        <v>1.6695299148559599</v>
      </c>
      <c r="Q8" s="11">
        <v>1.8349468708038299</v>
      </c>
      <c r="R8" s="11">
        <v>1.9442822933196999</v>
      </c>
      <c r="S8" s="11">
        <v>1.98429203033447</v>
      </c>
      <c r="T8" s="11">
        <v>2.0309031009674099</v>
      </c>
      <c r="U8" s="11">
        <v>1.8913979530334499</v>
      </c>
      <c r="V8" s="11">
        <v>1.96750211715698</v>
      </c>
      <c r="W8" s="11">
        <v>2.14245700836182</v>
      </c>
      <c r="X8" s="11">
        <v>1.9982950687408401</v>
      </c>
      <c r="Y8" s="11">
        <v>2.0994639396667498</v>
      </c>
      <c r="Z8" s="12">
        <v>0.84003567695617698</v>
      </c>
      <c r="AA8" s="8"/>
    </row>
    <row r="9" spans="1:27" ht="19.95" customHeight="1">
      <c r="A9" s="11">
        <v>3</v>
      </c>
      <c r="B9" s="12">
        <v>0.31699419021606401</v>
      </c>
      <c r="C9" s="11">
        <v>0.36489701271057101</v>
      </c>
      <c r="D9" s="11">
        <v>0.776897192001343</v>
      </c>
      <c r="E9" s="11">
        <v>1.0119600296020499</v>
      </c>
      <c r="F9" s="11">
        <v>1.2724971771240201</v>
      </c>
      <c r="G9" s="11">
        <v>1.6107151508331301</v>
      </c>
      <c r="H9" s="11">
        <v>1.5648717880248999</v>
      </c>
      <c r="I9" s="8"/>
      <c r="J9" s="11">
        <v>0.45422625541687001</v>
      </c>
      <c r="K9" s="11">
        <v>0.70620775222778298</v>
      </c>
      <c r="L9" s="11">
        <v>0.96407508850097701</v>
      </c>
      <c r="M9" s="11">
        <v>1.24714303016663</v>
      </c>
      <c r="N9" s="11">
        <v>1.5352652072906501</v>
      </c>
      <c r="O9" s="11">
        <v>1.8218522071838399</v>
      </c>
      <c r="P9" s="11">
        <v>1.66659212112427</v>
      </c>
      <c r="Q9" s="11">
        <v>1.7384438514709499</v>
      </c>
      <c r="R9" s="11">
        <v>1.84465312957764</v>
      </c>
      <c r="S9" s="11">
        <v>1.98540592193604</v>
      </c>
      <c r="T9" s="11">
        <v>1.95615935325623</v>
      </c>
      <c r="U9" s="11">
        <v>1.8742711544036901</v>
      </c>
      <c r="V9" s="11">
        <v>1.9279670715332</v>
      </c>
      <c r="W9" s="11">
        <v>1.95932221412659</v>
      </c>
      <c r="X9" s="11">
        <v>2.1413822174072301</v>
      </c>
      <c r="Y9" s="11">
        <v>1.93116903305054</v>
      </c>
      <c r="Z9" s="12">
        <v>0.81713175773620605</v>
      </c>
      <c r="AA9" s="8"/>
    </row>
    <row r="10" spans="1:27" ht="19.95" customHeight="1">
      <c r="A10" s="11">
        <v>4</v>
      </c>
      <c r="B10" s="12">
        <v>0.31182479858398399</v>
      </c>
      <c r="C10" s="11">
        <v>0.36478996276855502</v>
      </c>
      <c r="D10" s="11">
        <v>0.76169610023498502</v>
      </c>
      <c r="E10" s="11">
        <v>1.01076889038086</v>
      </c>
      <c r="F10" s="11">
        <v>1.2706060409545901</v>
      </c>
      <c r="G10" s="11">
        <v>1.61187291145325</v>
      </c>
      <c r="H10" s="11">
        <v>1.58504295349121</v>
      </c>
      <c r="I10" s="8"/>
      <c r="J10" s="11">
        <v>0.410871982574463</v>
      </c>
      <c r="K10" s="11">
        <v>0.710993051528931</v>
      </c>
      <c r="L10" s="11">
        <v>0.96536183357238803</v>
      </c>
      <c r="M10" s="11">
        <v>1.2101869583129901</v>
      </c>
      <c r="N10" s="11">
        <v>1.5439727306366</v>
      </c>
      <c r="O10" s="11">
        <v>1.7936692237853999</v>
      </c>
      <c r="P10" s="11">
        <v>1.71828889846802</v>
      </c>
      <c r="Q10" s="11">
        <v>1.7208840847015401</v>
      </c>
      <c r="R10" s="11">
        <v>1.80853915214539</v>
      </c>
      <c r="S10" s="11">
        <v>1.8918879032135001</v>
      </c>
      <c r="T10" s="11">
        <v>1.9312160015106199</v>
      </c>
      <c r="U10" s="11">
        <v>1.83812284469605</v>
      </c>
      <c r="V10" s="11">
        <v>1.9679148197174099</v>
      </c>
      <c r="W10" s="11">
        <v>1.9313781261444101</v>
      </c>
      <c r="X10" s="11">
        <v>2.0058958530425999</v>
      </c>
      <c r="Y10" s="11">
        <v>1.7990851402282699</v>
      </c>
      <c r="Z10" s="12">
        <v>0.81175398826599099</v>
      </c>
      <c r="AA10" s="8"/>
    </row>
    <row r="11" spans="1:27" ht="19.95" customHeight="1">
      <c r="A11" s="11">
        <v>5</v>
      </c>
      <c r="B11" s="12">
        <v>0.31072402000427202</v>
      </c>
      <c r="C11" s="11">
        <v>0.34864687919616699</v>
      </c>
      <c r="D11" s="11">
        <v>0.75295591354370095</v>
      </c>
      <c r="E11" s="11">
        <v>1.05289006233215</v>
      </c>
      <c r="F11" s="11">
        <v>1.31399869918823</v>
      </c>
      <c r="G11" s="11">
        <v>1.5803430080413801</v>
      </c>
      <c r="H11" s="11">
        <v>1.8753530979156501</v>
      </c>
      <c r="I11" s="8"/>
      <c r="J11" s="11">
        <v>0.347355127334595</v>
      </c>
      <c r="K11" s="11">
        <v>0.713903188705444</v>
      </c>
      <c r="L11" s="11">
        <v>0.97186899185180697</v>
      </c>
      <c r="M11" s="11">
        <v>1.2041528224945099</v>
      </c>
      <c r="N11" s="11">
        <v>1.5511848926544201</v>
      </c>
      <c r="O11" s="11">
        <v>1.7616651058196999</v>
      </c>
      <c r="P11" s="11">
        <v>1.6657629013061499</v>
      </c>
      <c r="Q11" s="11">
        <v>2.2501790523529102</v>
      </c>
      <c r="R11" s="11">
        <v>1.75801706314087</v>
      </c>
      <c r="S11" s="11">
        <v>1.8430428504943801</v>
      </c>
      <c r="T11" s="11">
        <v>1.8897399902343801</v>
      </c>
      <c r="U11" s="11">
        <v>1.84231281280518</v>
      </c>
      <c r="V11" s="11">
        <v>1.89882493019104</v>
      </c>
      <c r="W11" s="11">
        <v>1.9806342124939</v>
      </c>
      <c r="X11" s="11">
        <v>3.11561131477356</v>
      </c>
      <c r="Y11" s="11">
        <v>1.8121519088745099</v>
      </c>
      <c r="Z11" s="12">
        <v>0.82955694198608398</v>
      </c>
      <c r="AA11" s="8"/>
    </row>
    <row r="12" spans="1:27" ht="19.95" customHeight="1">
      <c r="A12" s="13" t="s">
        <v>62</v>
      </c>
      <c r="B12" s="14">
        <f t="shared" ref="B12:H12" si="0">AVERAGE(B7:B11)</f>
        <v>0.31563801765441857</v>
      </c>
      <c r="C12" s="15">
        <f>AVERAGE(C7:C11)</f>
        <v>0.36085314750671377</v>
      </c>
      <c r="D12" s="15">
        <f t="shared" si="0"/>
        <v>0.84696764945983816</v>
      </c>
      <c r="E12" s="15">
        <f t="shared" si="0"/>
        <v>1.0491233825683599</v>
      </c>
      <c r="F12" s="15">
        <f t="shared" si="0"/>
        <v>1.2784921646118159</v>
      </c>
      <c r="G12" s="15">
        <f t="shared" si="0"/>
        <v>1.6245977878570561</v>
      </c>
      <c r="H12" s="15">
        <f t="shared" si="0"/>
        <v>1.8702877044677719</v>
      </c>
      <c r="I12" s="16"/>
      <c r="J12" s="15">
        <f t="shared" ref="J12:Z12" si="1">AVERAGE(J7:J11)</f>
        <v>0.40299463272094743</v>
      </c>
      <c r="K12" s="15">
        <f t="shared" si="1"/>
        <v>0.71448059082031257</v>
      </c>
      <c r="L12" s="15">
        <f t="shared" si="1"/>
        <v>0.97633824348449738</v>
      </c>
      <c r="M12" s="15">
        <f t="shared" si="1"/>
        <v>1.2167757511138941</v>
      </c>
      <c r="N12" s="15">
        <f t="shared" si="1"/>
        <v>1.571520757675172</v>
      </c>
      <c r="O12" s="15">
        <f t="shared" si="1"/>
        <v>1.8789812564849862</v>
      </c>
      <c r="P12" s="15">
        <f t="shared" si="1"/>
        <v>1.6811819553375262</v>
      </c>
      <c r="Q12" s="15">
        <f t="shared" si="1"/>
        <v>1.8815799236297621</v>
      </c>
      <c r="R12" s="15">
        <f t="shared" si="1"/>
        <v>1.9089428901672381</v>
      </c>
      <c r="S12" s="15">
        <f t="shared" si="1"/>
        <v>1.9543639659881582</v>
      </c>
      <c r="T12" s="15">
        <f t="shared" si="1"/>
        <v>2.0002378463745139</v>
      </c>
      <c r="U12" s="15">
        <f t="shared" si="1"/>
        <v>1.878424549102786</v>
      </c>
      <c r="V12" s="15">
        <f t="shared" si="1"/>
        <v>2.0402544021606439</v>
      </c>
      <c r="W12" s="15">
        <f t="shared" si="1"/>
        <v>2.0659751415252701</v>
      </c>
      <c r="X12" s="15">
        <f t="shared" si="1"/>
        <v>2.3212345123291001</v>
      </c>
      <c r="Y12" s="15">
        <f t="shared" si="1"/>
        <v>1.97739143371582</v>
      </c>
      <c r="Z12" s="14">
        <f t="shared" si="1"/>
        <v>0.84586648941040044</v>
      </c>
      <c r="AA12" s="16"/>
    </row>
    <row r="13" spans="1:27" s="34" customFormat="1" ht="19.95" customHeight="1">
      <c r="A13" s="33" t="s">
        <v>103</v>
      </c>
      <c r="B13" s="35">
        <f t="shared" ref="B13:H13" si="2">_xlfn.CONFIDENCE.T(0.05, B14, 5)</f>
        <v>5.752187514838439E-3</v>
      </c>
      <c r="C13" s="35">
        <f t="shared" si="2"/>
        <v>8.6409659690742744E-3</v>
      </c>
      <c r="D13" s="35">
        <f t="shared" si="2"/>
        <v>0.15944946512060151</v>
      </c>
      <c r="E13" s="35">
        <f t="shared" si="2"/>
        <v>4.8332972957973813E-2</v>
      </c>
      <c r="F13" s="35">
        <f t="shared" si="2"/>
        <v>2.5763188732269193E-2</v>
      </c>
      <c r="G13" s="35">
        <f t="shared" si="2"/>
        <v>5.6844999164259932E-2</v>
      </c>
      <c r="H13" s="35">
        <f t="shared" si="2"/>
        <v>0.38348883647139453</v>
      </c>
      <c r="I13" s="35"/>
      <c r="J13" s="35">
        <f t="shared" ref="J13:Z13" si="3">_xlfn.CONFIDENCE.T(0.05, J14, 5)</f>
        <v>4.7262167163735144E-2</v>
      </c>
      <c r="K13" s="35">
        <f t="shared" si="3"/>
        <v>1.0960236105298506E-2</v>
      </c>
      <c r="L13" s="35">
        <f t="shared" si="3"/>
        <v>2.6162014505222073E-2</v>
      </c>
      <c r="M13" s="35">
        <f t="shared" si="3"/>
        <v>2.1396851330744246E-2</v>
      </c>
      <c r="N13" s="35">
        <f t="shared" si="3"/>
        <v>4.8688891675956983E-2</v>
      </c>
      <c r="O13" s="35">
        <f t="shared" si="3"/>
        <v>0.16225244455105933</v>
      </c>
      <c r="P13" s="35">
        <f t="shared" si="3"/>
        <v>2.7653480710338758E-2</v>
      </c>
      <c r="Q13" s="35">
        <f t="shared" si="3"/>
        <v>0.26679881904524932</v>
      </c>
      <c r="R13" s="35">
        <f t="shared" si="3"/>
        <v>0.21217418153584774</v>
      </c>
      <c r="S13" s="35">
        <f t="shared" si="3"/>
        <v>0.10910565354888169</v>
      </c>
      <c r="T13" s="35">
        <f t="shared" si="3"/>
        <v>0.14832582319395363</v>
      </c>
      <c r="U13" s="35">
        <f t="shared" si="3"/>
        <v>5.4416612667686957E-2</v>
      </c>
      <c r="V13" s="35">
        <f t="shared" si="3"/>
        <v>0.27915702771116796</v>
      </c>
      <c r="W13" s="35">
        <f t="shared" si="3"/>
        <v>0.20134326214339235</v>
      </c>
      <c r="X13" s="35">
        <f t="shared" si="3"/>
        <v>0.57829890538518269</v>
      </c>
      <c r="Y13" s="35">
        <f t="shared" si="3"/>
        <v>0.23867452949876874</v>
      </c>
      <c r="Z13" s="35">
        <f t="shared" si="3"/>
        <v>6.0550181745569774E-2</v>
      </c>
      <c r="AA13" s="33"/>
    </row>
    <row r="14" spans="1:27" s="34" customFormat="1" ht="19.95" customHeight="1">
      <c r="A14" s="31" t="s">
        <v>97</v>
      </c>
      <c r="B14" s="32">
        <f>_xlfn.STDEV.S(B7:B11)</f>
        <v>4.632644196143048E-3</v>
      </c>
      <c r="C14" s="32">
        <f t="shared" ref="C14:Z14" si="4">_xlfn.STDEV.S(C7:C11)</f>
        <v>6.9591821793775184E-3</v>
      </c>
      <c r="D14" s="32">
        <f t="shared" si="4"/>
        <v>0.12841595258561644</v>
      </c>
      <c r="E14" s="32">
        <f t="shared" si="4"/>
        <v>3.8925967917161193E-2</v>
      </c>
      <c r="F14" s="32">
        <f t="shared" si="4"/>
        <v>2.0748921422815796E-2</v>
      </c>
      <c r="G14" s="32">
        <f t="shared" si="4"/>
        <v>4.5781305769108195E-2</v>
      </c>
      <c r="H14" s="32">
        <f t="shared" si="4"/>
        <v>0.30885073339177371</v>
      </c>
      <c r="I14" s="32"/>
      <c r="J14" s="32">
        <f t="shared" si="4"/>
        <v>3.8063572135542546E-2</v>
      </c>
      <c r="K14" s="32">
        <f t="shared" si="4"/>
        <v>8.8270547597047028E-3</v>
      </c>
      <c r="L14" s="32">
        <f t="shared" si="4"/>
        <v>2.1070124077905931E-2</v>
      </c>
      <c r="M14" s="32">
        <f t="shared" si="4"/>
        <v>1.7232400521959002E-2</v>
      </c>
      <c r="N14" s="32">
        <f t="shared" si="4"/>
        <v>3.9212614480561639E-2</v>
      </c>
      <c r="O14" s="32">
        <f t="shared" si="4"/>
        <v>0.13067339053542631</v>
      </c>
      <c r="P14" s="32">
        <f t="shared" si="4"/>
        <v>2.2271307495701963E-2</v>
      </c>
      <c r="Q14" s="32">
        <f t="shared" si="4"/>
        <v>0.21487199389787426</v>
      </c>
      <c r="R14" s="32">
        <f t="shared" si="4"/>
        <v>0.17087890270055875</v>
      </c>
      <c r="S14" s="32">
        <f t="shared" si="4"/>
        <v>8.7870513848124651E-2</v>
      </c>
      <c r="T14" s="32">
        <f t="shared" si="4"/>
        <v>0.11945729553931428</v>
      </c>
      <c r="U14" s="32">
        <f t="shared" si="4"/>
        <v>4.3825554051988298E-2</v>
      </c>
      <c r="V14" s="32">
        <f t="shared" si="4"/>
        <v>0.22482493501865769</v>
      </c>
      <c r="W14" s="32">
        <f t="shared" si="4"/>
        <v>0.16215599585287385</v>
      </c>
      <c r="X14" s="32">
        <f t="shared" si="4"/>
        <v>0.46574508580563728</v>
      </c>
      <c r="Y14" s="32">
        <f t="shared" si="4"/>
        <v>0.1922215106856959</v>
      </c>
      <c r="Z14" s="32">
        <f t="shared" si="4"/>
        <v>4.8765351844914442E-2</v>
      </c>
      <c r="AA14" s="33"/>
    </row>
    <row r="15" spans="1:27" s="34" customFormat="1" ht="19.95" customHeight="1">
      <c r="A15" s="31" t="s">
        <v>98</v>
      </c>
      <c r="B15" s="32">
        <f>MIN(B7:B11)</f>
        <v>0.31072402000427202</v>
      </c>
      <c r="C15" s="32">
        <f t="shared" ref="C15:Z15" si="5">MIN(C7:C11)</f>
        <v>0.34864687919616699</v>
      </c>
      <c r="D15" s="32">
        <f t="shared" si="5"/>
        <v>0.75295591354370095</v>
      </c>
      <c r="E15" s="32">
        <f t="shared" si="5"/>
        <v>1.01076889038086</v>
      </c>
      <c r="F15" s="32">
        <f t="shared" si="5"/>
        <v>1.2596359252929701</v>
      </c>
      <c r="G15" s="32">
        <f t="shared" si="5"/>
        <v>1.5803430080413801</v>
      </c>
      <c r="H15" s="32">
        <f t="shared" si="5"/>
        <v>1.5648717880248999</v>
      </c>
      <c r="I15" s="32"/>
      <c r="J15" s="32">
        <f>MIN(J7:J11)</f>
        <v>0.347355127334595</v>
      </c>
      <c r="K15" s="32">
        <f t="shared" si="5"/>
        <v>0.70620775222778298</v>
      </c>
      <c r="L15" s="32">
        <f t="shared" si="5"/>
        <v>0.96407508850097701</v>
      </c>
      <c r="M15" s="32">
        <f t="shared" si="5"/>
        <v>1.2041528224945099</v>
      </c>
      <c r="N15" s="32">
        <f t="shared" si="5"/>
        <v>1.5352652072906501</v>
      </c>
      <c r="O15" s="32">
        <f t="shared" si="5"/>
        <v>1.7616651058196999</v>
      </c>
      <c r="P15" s="32">
        <f t="shared" si="5"/>
        <v>1.6657629013061499</v>
      </c>
      <c r="Q15" s="32">
        <f t="shared" si="5"/>
        <v>1.7208840847015401</v>
      </c>
      <c r="R15" s="32">
        <f t="shared" si="5"/>
        <v>1.75801706314087</v>
      </c>
      <c r="S15" s="32">
        <f t="shared" si="5"/>
        <v>1.8430428504943801</v>
      </c>
      <c r="T15" s="32">
        <f t="shared" si="5"/>
        <v>1.8897399902343801</v>
      </c>
      <c r="U15" s="32">
        <f t="shared" si="5"/>
        <v>1.83812284469605</v>
      </c>
      <c r="V15" s="32">
        <f t="shared" si="5"/>
        <v>1.89882493019104</v>
      </c>
      <c r="W15" s="32">
        <f t="shared" si="5"/>
        <v>1.9313781261444101</v>
      </c>
      <c r="X15" s="32">
        <f t="shared" si="5"/>
        <v>1.9982950687408401</v>
      </c>
      <c r="Y15" s="32">
        <f t="shared" si="5"/>
        <v>1.7990851402282699</v>
      </c>
      <c r="Z15" s="32">
        <f t="shared" si="5"/>
        <v>0.81175398826599099</v>
      </c>
      <c r="AA15" s="33"/>
    </row>
    <row r="16" spans="1:27" s="34" customFormat="1" ht="19.95" customHeight="1">
      <c r="A16" s="33" t="s">
        <v>99</v>
      </c>
      <c r="B16" s="35">
        <f>MAX(B7:B11)</f>
        <v>0.32233619689941401</v>
      </c>
      <c r="C16" s="35">
        <f t="shared" ref="C16:Z16" si="6">MAX(C7:C11)</f>
        <v>0.36489701271057101</v>
      </c>
      <c r="D16" s="35">
        <f t="shared" si="6"/>
        <v>1.05487513542175</v>
      </c>
      <c r="E16" s="35">
        <f t="shared" si="6"/>
        <v>1.10261201858521</v>
      </c>
      <c r="F16" s="35">
        <f t="shared" si="6"/>
        <v>1.31399869918823</v>
      </c>
      <c r="G16" s="35">
        <f t="shared" si="6"/>
        <v>1.7022180557251001</v>
      </c>
      <c r="H16" s="35">
        <f t="shared" si="6"/>
        <v>2.2961738109588601</v>
      </c>
      <c r="I16" s="35"/>
      <c r="J16" s="35">
        <f t="shared" si="6"/>
        <v>0.45422625541687001</v>
      </c>
      <c r="K16" s="35">
        <f>MAX(K7:K11)</f>
        <v>0.729442119598389</v>
      </c>
      <c r="L16" s="35">
        <f t="shared" si="6"/>
        <v>1.01365613937378</v>
      </c>
      <c r="M16" s="35">
        <f t="shared" si="6"/>
        <v>1.24714303016663</v>
      </c>
      <c r="N16" s="35">
        <f t="shared" si="6"/>
        <v>1.62146091461182</v>
      </c>
      <c r="O16" s="35">
        <f t="shared" si="6"/>
        <v>2.0804848670959499</v>
      </c>
      <c r="P16" s="35">
        <f t="shared" si="6"/>
        <v>1.71828889846802</v>
      </c>
      <c r="Q16" s="35">
        <f t="shared" si="6"/>
        <v>2.2501790523529102</v>
      </c>
      <c r="R16" s="35">
        <f t="shared" si="6"/>
        <v>2.1892228126525901</v>
      </c>
      <c r="S16" s="35">
        <f t="shared" si="6"/>
        <v>2.0671911239624001</v>
      </c>
      <c r="T16" s="35">
        <f t="shared" si="6"/>
        <v>2.1931707859039302</v>
      </c>
      <c r="U16" s="35">
        <f t="shared" si="6"/>
        <v>1.94601798057556</v>
      </c>
      <c r="V16" s="35">
        <f t="shared" si="6"/>
        <v>2.4390630722045898</v>
      </c>
      <c r="W16" s="35">
        <f t="shared" si="6"/>
        <v>2.3160841464996298</v>
      </c>
      <c r="X16" s="35">
        <f t="shared" si="6"/>
        <v>3.11561131477356</v>
      </c>
      <c r="Y16" s="35">
        <f t="shared" si="6"/>
        <v>2.2450871467590301</v>
      </c>
      <c r="Z16" s="35">
        <f t="shared" si="6"/>
        <v>0.93085408210754395</v>
      </c>
      <c r="AA16" s="33"/>
    </row>
    <row r="17" spans="1:27" ht="19.95" customHeight="1">
      <c r="A17" s="8"/>
      <c r="B17" s="1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26"/>
      <c r="P17" s="8"/>
      <c r="Q17" s="8"/>
      <c r="R17" s="8"/>
      <c r="S17" s="8"/>
      <c r="T17" s="8"/>
      <c r="U17" s="8"/>
      <c r="V17" s="8"/>
      <c r="W17" s="8"/>
      <c r="X17" s="8"/>
      <c r="Y17" s="8"/>
      <c r="Z17" s="17"/>
      <c r="AA17" s="8"/>
    </row>
    <row r="18" spans="1:27" ht="19.95" customHeight="1">
      <c r="A18" s="16"/>
      <c r="B18" s="18" t="s">
        <v>63</v>
      </c>
      <c r="C18" s="16"/>
      <c r="D18" s="16"/>
      <c r="E18" s="16"/>
      <c r="F18" s="16"/>
      <c r="G18" s="16"/>
      <c r="H18" s="13" t="s">
        <v>63</v>
      </c>
      <c r="I18" s="16"/>
      <c r="J18" s="13" t="s">
        <v>63</v>
      </c>
      <c r="K18" s="16"/>
      <c r="L18" s="16"/>
      <c r="M18" s="16"/>
      <c r="N18" s="16"/>
      <c r="O18" s="27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8" t="s">
        <v>63</v>
      </c>
      <c r="AA18" s="16"/>
    </row>
    <row r="19" spans="1:27" ht="31.95" customHeight="1">
      <c r="A19" s="8"/>
      <c r="B19" s="9" t="s">
        <v>26</v>
      </c>
      <c r="C19" s="10" t="s">
        <v>27</v>
      </c>
      <c r="D19" s="10" t="s">
        <v>28</v>
      </c>
      <c r="E19" s="10" t="s">
        <v>29</v>
      </c>
      <c r="F19" s="10" t="s">
        <v>30</v>
      </c>
      <c r="G19" s="10" t="s">
        <v>31</v>
      </c>
      <c r="H19" s="10" t="s">
        <v>32</v>
      </c>
      <c r="I19" s="8"/>
      <c r="J19" s="10" t="s">
        <v>33</v>
      </c>
      <c r="K19" s="10" t="s">
        <v>34</v>
      </c>
      <c r="L19" s="10" t="s">
        <v>35</v>
      </c>
      <c r="M19" s="10" t="s">
        <v>36</v>
      </c>
      <c r="N19" s="10" t="s">
        <v>37</v>
      </c>
      <c r="O19" s="28" t="s">
        <v>38</v>
      </c>
      <c r="P19" s="10" t="s">
        <v>39</v>
      </c>
      <c r="Q19" s="10" t="s">
        <v>40</v>
      </c>
      <c r="R19" s="10" t="s">
        <v>41</v>
      </c>
      <c r="S19" s="10" t="s">
        <v>42</v>
      </c>
      <c r="T19" s="10" t="s">
        <v>43</v>
      </c>
      <c r="U19" s="10" t="s">
        <v>44</v>
      </c>
      <c r="V19" s="10" t="s">
        <v>45</v>
      </c>
      <c r="W19" s="10" t="s">
        <v>46</v>
      </c>
      <c r="X19" s="10" t="s">
        <v>47</v>
      </c>
      <c r="Y19" s="10" t="s">
        <v>48</v>
      </c>
      <c r="Z19" s="9" t="s">
        <v>49</v>
      </c>
      <c r="AA19" s="8"/>
    </row>
    <row r="20" spans="1:27" ht="43.95" customHeight="1">
      <c r="A20" s="8"/>
      <c r="B20" s="9" t="s">
        <v>50</v>
      </c>
      <c r="C20" s="10" t="s">
        <v>50</v>
      </c>
      <c r="D20" s="10" t="s">
        <v>51</v>
      </c>
      <c r="E20" s="10" t="s">
        <v>52</v>
      </c>
      <c r="F20" s="10" t="s">
        <v>53</v>
      </c>
      <c r="G20" s="10" t="s">
        <v>54</v>
      </c>
      <c r="H20" s="10" t="s">
        <v>55</v>
      </c>
      <c r="I20" s="8"/>
      <c r="J20" s="10" t="s">
        <v>56</v>
      </c>
      <c r="K20" s="10" t="s">
        <v>57</v>
      </c>
      <c r="L20" s="10" t="s">
        <v>58</v>
      </c>
      <c r="M20" s="10" t="s">
        <v>59</v>
      </c>
      <c r="N20" s="10" t="s">
        <v>60</v>
      </c>
      <c r="O20" s="28" t="s">
        <v>61</v>
      </c>
      <c r="P20" s="10" t="s">
        <v>61</v>
      </c>
      <c r="Q20" s="10" t="s">
        <v>61</v>
      </c>
      <c r="R20" s="10" t="s">
        <v>61</v>
      </c>
      <c r="S20" s="10" t="s">
        <v>61</v>
      </c>
      <c r="T20" s="10" t="s">
        <v>61</v>
      </c>
      <c r="U20" s="10" t="s">
        <v>61</v>
      </c>
      <c r="V20" s="10" t="s">
        <v>61</v>
      </c>
      <c r="W20" s="10" t="s">
        <v>61</v>
      </c>
      <c r="X20" s="10" t="s">
        <v>61</v>
      </c>
      <c r="Y20" s="10" t="s">
        <v>61</v>
      </c>
      <c r="Z20" s="9" t="s">
        <v>61</v>
      </c>
      <c r="AA20" s="8"/>
    </row>
    <row r="21" spans="1:27" ht="19.95" customHeight="1">
      <c r="A21" s="11">
        <v>0</v>
      </c>
      <c r="B21" s="12">
        <v>5.5630972385406503</v>
      </c>
      <c r="C21" s="11">
        <v>5.5905928611755398</v>
      </c>
      <c r="D21" s="11">
        <v>13.8823409080505</v>
      </c>
      <c r="E21" s="11">
        <v>16.356446027755698</v>
      </c>
      <c r="F21" s="11">
        <v>23.304155111312902</v>
      </c>
      <c r="G21" s="11">
        <v>26.247591733932499</v>
      </c>
      <c r="H21" s="11">
        <v>29.724083900451699</v>
      </c>
      <c r="I21" s="8"/>
      <c r="J21" s="11">
        <v>6.3044500350952202</v>
      </c>
      <c r="K21" s="11">
        <v>11.1669929027557</v>
      </c>
      <c r="L21" s="11">
        <v>16.6635692119598</v>
      </c>
      <c r="M21" s="11">
        <v>19.996197938919099</v>
      </c>
      <c r="N21" s="11">
        <v>24.915346145629901</v>
      </c>
      <c r="O21" s="29">
        <v>31.516705036163302</v>
      </c>
      <c r="P21" s="11">
        <v>32.037791013717701</v>
      </c>
      <c r="Q21" s="11">
        <v>34.035974979400599</v>
      </c>
      <c r="R21" s="11">
        <v>32.503138065338099</v>
      </c>
      <c r="S21" s="11">
        <v>31.229098081588699</v>
      </c>
      <c r="T21" s="11">
        <v>33.480890989303603</v>
      </c>
      <c r="U21" s="11">
        <v>31.9932699203491</v>
      </c>
      <c r="V21" s="11">
        <v>33.7405459880829</v>
      </c>
      <c r="W21" s="11">
        <v>35.248414993286097</v>
      </c>
      <c r="X21" s="11">
        <v>31.086065053939802</v>
      </c>
      <c r="Y21" s="11">
        <v>30.761476039886499</v>
      </c>
      <c r="Z21" s="12">
        <v>17.925664901733398</v>
      </c>
      <c r="AA21" s="8"/>
    </row>
    <row r="22" spans="1:27" ht="19.95" customHeight="1">
      <c r="A22" s="11">
        <v>1</v>
      </c>
      <c r="B22" s="12">
        <v>4.5697500705719003</v>
      </c>
      <c r="C22" s="11">
        <v>4.8409218788146999</v>
      </c>
      <c r="D22" s="11">
        <v>9.2600100040435809</v>
      </c>
      <c r="E22" s="11">
        <v>12.365380048751801</v>
      </c>
      <c r="F22" s="11">
        <v>17.191664218902599</v>
      </c>
      <c r="G22" s="11">
        <v>18.758903741836502</v>
      </c>
      <c r="H22" s="11">
        <v>21.244019746780399</v>
      </c>
      <c r="I22" s="8"/>
      <c r="J22" s="11">
        <v>5.2510311603546098</v>
      </c>
      <c r="K22" s="11">
        <v>8.6045980453491193</v>
      </c>
      <c r="L22" s="11">
        <v>11.295595884323101</v>
      </c>
      <c r="M22" s="11">
        <v>13.780402183532701</v>
      </c>
      <c r="N22" s="11">
        <v>16.828757047653198</v>
      </c>
      <c r="O22" s="29">
        <v>17.880681991577202</v>
      </c>
      <c r="P22" s="11">
        <v>18.8784499168396</v>
      </c>
      <c r="Q22" s="11">
        <v>19.5842108726501</v>
      </c>
      <c r="R22" s="11">
        <v>19.598977088928201</v>
      </c>
      <c r="S22" s="11">
        <v>20.613444805145299</v>
      </c>
      <c r="T22" s="11">
        <v>21.298633098602298</v>
      </c>
      <c r="U22" s="11">
        <v>22.486841678619399</v>
      </c>
      <c r="V22" s="11">
        <v>22.738208055496202</v>
      </c>
      <c r="W22" s="11">
        <v>24.6933271884918</v>
      </c>
      <c r="X22" s="11">
        <v>23.686776161193801</v>
      </c>
      <c r="Y22" s="11">
        <v>23.844670057296799</v>
      </c>
      <c r="Z22" s="12">
        <v>11.578897953033399</v>
      </c>
      <c r="AA22" s="8"/>
    </row>
    <row r="23" spans="1:27" ht="19.95" customHeight="1">
      <c r="A23" s="11">
        <v>2</v>
      </c>
      <c r="B23" s="12">
        <v>4.5719020366668701</v>
      </c>
      <c r="C23" s="11">
        <v>4.9551160335540798</v>
      </c>
      <c r="D23" s="11">
        <v>9.1733639240264893</v>
      </c>
      <c r="E23" s="11">
        <v>12.403795003891</v>
      </c>
      <c r="F23" s="11">
        <v>15.3854699134827</v>
      </c>
      <c r="G23" s="11">
        <v>18.762730121612599</v>
      </c>
      <c r="H23" s="11">
        <v>21.068002939224201</v>
      </c>
      <c r="I23" s="8"/>
      <c r="J23" s="11">
        <v>5.6158699989318901</v>
      </c>
      <c r="K23" s="11">
        <v>9.2752559185028094</v>
      </c>
      <c r="L23" s="11">
        <v>11.402259826660201</v>
      </c>
      <c r="M23" s="11">
        <v>13.935206890106199</v>
      </c>
      <c r="N23" s="11">
        <v>16.910733938217199</v>
      </c>
      <c r="O23" s="29">
        <v>17.9730241298676</v>
      </c>
      <c r="P23" s="11">
        <v>18.881784200668299</v>
      </c>
      <c r="Q23" s="11">
        <v>19.857362031936599</v>
      </c>
      <c r="R23" s="11">
        <v>19.689156770706202</v>
      </c>
      <c r="S23" s="11">
        <v>20.5437877178192</v>
      </c>
      <c r="T23" s="11">
        <v>21.209367990493799</v>
      </c>
      <c r="U23" s="11">
        <v>21.7520830631256</v>
      </c>
      <c r="V23" s="11">
        <v>22.2635159492493</v>
      </c>
      <c r="W23" s="11">
        <v>23.106481075286901</v>
      </c>
      <c r="X23" s="11">
        <v>23.6904921531677</v>
      </c>
      <c r="Y23" s="11">
        <v>23.460900068283099</v>
      </c>
      <c r="Z23" s="12">
        <v>11.536728143692001</v>
      </c>
      <c r="AA23" s="8"/>
    </row>
    <row r="24" spans="1:27" ht="19.95" customHeight="1">
      <c r="A24" s="11">
        <v>3</v>
      </c>
      <c r="B24" s="12">
        <v>4.49078392982483</v>
      </c>
      <c r="C24" s="11">
        <v>4.8520598411560103</v>
      </c>
      <c r="D24" s="11">
        <v>9.26721096038818</v>
      </c>
      <c r="E24" s="11">
        <v>12.450159072876</v>
      </c>
      <c r="F24" s="11">
        <v>15.370535135269201</v>
      </c>
      <c r="G24" s="11">
        <v>18.743404150009201</v>
      </c>
      <c r="H24" s="11">
        <v>21.1176021099091</v>
      </c>
      <c r="I24" s="8"/>
      <c r="J24" s="11">
        <v>4.8290421962738002</v>
      </c>
      <c r="K24" s="11">
        <v>8.9573428630828893</v>
      </c>
      <c r="L24" s="11">
        <v>11.257453918456999</v>
      </c>
      <c r="M24" s="11">
        <v>13.898498773574801</v>
      </c>
      <c r="N24" s="11">
        <v>16.8217129707336</v>
      </c>
      <c r="O24" s="29">
        <v>21.3084940910339</v>
      </c>
      <c r="P24" s="11">
        <v>18.917550086975101</v>
      </c>
      <c r="Q24" s="11">
        <v>19.416532039642298</v>
      </c>
      <c r="R24" s="11">
        <v>19.713666915893601</v>
      </c>
      <c r="S24" s="11">
        <v>20.439226150512699</v>
      </c>
      <c r="T24" s="11">
        <v>20.922966003418001</v>
      </c>
      <c r="U24" s="11">
        <v>21.883486032486001</v>
      </c>
      <c r="V24" s="11">
        <v>22.322959899902301</v>
      </c>
      <c r="W24" s="11">
        <v>23.2479200363159</v>
      </c>
      <c r="X24" s="11">
        <v>23.731452941894499</v>
      </c>
      <c r="Y24" s="11">
        <v>23.9117770195007</v>
      </c>
      <c r="Z24" s="12">
        <v>11.5390868186951</v>
      </c>
      <c r="AA24" s="8"/>
    </row>
    <row r="25" spans="1:27" ht="19.95" customHeight="1">
      <c r="A25" s="11">
        <v>4</v>
      </c>
      <c r="B25" s="12">
        <v>4.4606411457061803</v>
      </c>
      <c r="C25" s="11">
        <v>4.8964982032775897</v>
      </c>
      <c r="D25" s="11">
        <v>9.1309180259704608</v>
      </c>
      <c r="E25" s="11">
        <v>12.435376882553101</v>
      </c>
      <c r="F25" s="11">
        <v>15.7004547119141</v>
      </c>
      <c r="G25" s="11">
        <v>18.738732814788801</v>
      </c>
      <c r="H25" s="11">
        <v>21.102537870407101</v>
      </c>
      <c r="I25" s="8"/>
      <c r="J25" s="11">
        <v>4.7815501689910898</v>
      </c>
      <c r="K25" s="11">
        <v>8.7105610370636004</v>
      </c>
      <c r="L25" s="11">
        <v>11.422963857650799</v>
      </c>
      <c r="M25" s="11">
        <v>13.746637821197501</v>
      </c>
      <c r="N25" s="11">
        <v>16.866315126419099</v>
      </c>
      <c r="O25" s="29">
        <v>17.8720140457153</v>
      </c>
      <c r="P25" s="11">
        <v>18.865967750549299</v>
      </c>
      <c r="Q25" s="11">
        <v>19.277328968048099</v>
      </c>
      <c r="R25" s="11">
        <v>19.709004878997799</v>
      </c>
      <c r="S25" s="11">
        <v>20.5268552303314</v>
      </c>
      <c r="T25" s="11">
        <v>21.106075286865199</v>
      </c>
      <c r="U25" s="11">
        <v>21.978495836257899</v>
      </c>
      <c r="V25" s="11">
        <v>22.308253765106201</v>
      </c>
      <c r="W25" s="11">
        <v>22.883382081985499</v>
      </c>
      <c r="X25" s="11">
        <v>24.276509046554601</v>
      </c>
      <c r="Y25" s="11">
        <v>23.588453769683799</v>
      </c>
      <c r="Z25" s="12">
        <v>11.735870838165299</v>
      </c>
      <c r="AA25" s="8"/>
    </row>
    <row r="26" spans="1:27" ht="19.95" customHeight="1">
      <c r="A26" s="11">
        <v>5</v>
      </c>
      <c r="B26" s="12">
        <v>4.5917172431945801</v>
      </c>
      <c r="C26" s="11">
        <v>4.9047389030456499</v>
      </c>
      <c r="D26" s="11">
        <v>9.1112141609191895</v>
      </c>
      <c r="E26" s="11">
        <v>12.385390996932999</v>
      </c>
      <c r="F26" s="11">
        <v>15.3397281169891</v>
      </c>
      <c r="G26" s="11">
        <v>18.7671701908112</v>
      </c>
      <c r="H26" s="11">
        <v>21.184438943862901</v>
      </c>
      <c r="I26" s="8"/>
      <c r="J26" s="11">
        <v>4.7524139881133998</v>
      </c>
      <c r="K26" s="11">
        <v>9.5346739292144793</v>
      </c>
      <c r="L26" s="11">
        <v>11.8492159843445</v>
      </c>
      <c r="M26" s="11">
        <v>13.8235988616943</v>
      </c>
      <c r="N26" s="11">
        <v>16.588846206665</v>
      </c>
      <c r="O26" s="29">
        <v>17.844492912292498</v>
      </c>
      <c r="P26" s="11">
        <v>18.807103872299201</v>
      </c>
      <c r="Q26" s="11">
        <v>19.331655025482199</v>
      </c>
      <c r="R26" s="11">
        <v>19.671267747879</v>
      </c>
      <c r="S26" s="11">
        <v>20.3569672107697</v>
      </c>
      <c r="T26" s="11">
        <v>20.986747980117801</v>
      </c>
      <c r="U26" s="11">
        <v>21.7413458824158</v>
      </c>
      <c r="V26" s="11">
        <v>22.281051874160799</v>
      </c>
      <c r="W26" s="11">
        <v>23.067037105560299</v>
      </c>
      <c r="X26" s="11">
        <v>23.5503799915314</v>
      </c>
      <c r="Y26" s="11">
        <v>24.1208882331848</v>
      </c>
      <c r="Z26" s="12">
        <v>11.406731605529799</v>
      </c>
      <c r="AA26" s="8"/>
    </row>
    <row r="27" spans="1:27" ht="19.95" customHeight="1">
      <c r="A27" s="13" t="s">
        <v>62</v>
      </c>
      <c r="B27" s="14">
        <f t="shared" ref="B27:H27" si="7">AVERAGE(B22:B26)</f>
        <v>4.5369588851928722</v>
      </c>
      <c r="C27" s="15">
        <f t="shared" si="7"/>
        <v>4.8898669719696066</v>
      </c>
      <c r="D27" s="15">
        <f t="shared" si="7"/>
        <v>9.1885434150695797</v>
      </c>
      <c r="E27" s="15">
        <f t="shared" si="7"/>
        <v>12.408020401000979</v>
      </c>
      <c r="F27" s="15">
        <f t="shared" si="7"/>
        <v>15.79757041931154</v>
      </c>
      <c r="G27" s="15">
        <f t="shared" si="7"/>
        <v>18.754188203811658</v>
      </c>
      <c r="H27" s="15">
        <f t="shared" si="7"/>
        <v>21.14332032203674</v>
      </c>
      <c r="I27" s="16"/>
      <c r="J27" s="15">
        <f t="shared" ref="J27:Z27" si="8">AVERAGE(J22:J26)</f>
        <v>5.0459815025329577</v>
      </c>
      <c r="K27" s="15">
        <f t="shared" si="8"/>
        <v>9.0164863586425792</v>
      </c>
      <c r="L27" s="15">
        <f t="shared" si="8"/>
        <v>11.44549789428712</v>
      </c>
      <c r="M27" s="15">
        <f t="shared" si="8"/>
        <v>13.836868906021101</v>
      </c>
      <c r="N27" s="15">
        <f t="shared" si="8"/>
        <v>16.80327305793762</v>
      </c>
      <c r="O27" s="30">
        <f t="shared" si="8"/>
        <v>18.575741434097299</v>
      </c>
      <c r="P27" s="15">
        <f t="shared" si="8"/>
        <v>18.870171165466303</v>
      </c>
      <c r="Q27" s="15">
        <f t="shared" si="8"/>
        <v>19.493417787551856</v>
      </c>
      <c r="R27" s="15">
        <f t="shared" si="8"/>
        <v>19.67641468048096</v>
      </c>
      <c r="S27" s="15">
        <f t="shared" si="8"/>
        <v>20.496056222915659</v>
      </c>
      <c r="T27" s="15">
        <f t="shared" si="8"/>
        <v>21.104758071899418</v>
      </c>
      <c r="U27" s="15">
        <f t="shared" si="8"/>
        <v>21.968450498580939</v>
      </c>
      <c r="V27" s="15">
        <f t="shared" si="8"/>
        <v>22.382797908782958</v>
      </c>
      <c r="W27" s="15">
        <f t="shared" si="8"/>
        <v>23.399629497528082</v>
      </c>
      <c r="X27" s="15">
        <f t="shared" si="8"/>
        <v>23.787122058868402</v>
      </c>
      <c r="Y27" s="15">
        <f t="shared" si="8"/>
        <v>23.785337829589839</v>
      </c>
      <c r="Z27" s="14">
        <f t="shared" si="8"/>
        <v>11.559463071823121</v>
      </c>
      <c r="AA27" s="16"/>
    </row>
    <row r="28" spans="1:27" s="34" customFormat="1" ht="19.95" customHeight="1">
      <c r="A28" s="33" t="s">
        <v>103</v>
      </c>
      <c r="B28" s="35">
        <f t="shared" ref="B28:H28" si="9">_xlfn.CONFIDENCE.T(0.05, B29, 5)</f>
        <v>7.1466601202383254E-2</v>
      </c>
      <c r="C28" s="35">
        <f t="shared" si="9"/>
        <v>5.6722402777134799E-2</v>
      </c>
      <c r="D28" s="35">
        <f t="shared" si="9"/>
        <v>8.9595698542787205E-2</v>
      </c>
      <c r="E28" s="35">
        <f t="shared" si="9"/>
        <v>4.333473305264357E-2</v>
      </c>
      <c r="F28" s="35">
        <f t="shared" si="9"/>
        <v>0.98451007494755338</v>
      </c>
      <c r="G28" s="35">
        <f t="shared" si="9"/>
        <v>1.5444841703746584E-2</v>
      </c>
      <c r="H28" s="35">
        <f t="shared" si="9"/>
        <v>8.7421562796817232E-2</v>
      </c>
      <c r="I28" s="35"/>
      <c r="J28" s="35">
        <f t="shared" ref="J28:Z28" si="10">_xlfn.CONFIDENCE.T(0.05, J29, 5)</f>
        <v>0.46871242807221419</v>
      </c>
      <c r="K28" s="35">
        <f t="shared" si="10"/>
        <v>0.4817833444837899</v>
      </c>
      <c r="L28" s="35">
        <f t="shared" si="10"/>
        <v>0.29330403344644618</v>
      </c>
      <c r="M28" s="35">
        <f t="shared" si="10"/>
        <v>9.8112737049847021E-2</v>
      </c>
      <c r="N28" s="35">
        <f t="shared" si="10"/>
        <v>0.15519618098293925</v>
      </c>
      <c r="O28" s="35">
        <f t="shared" si="10"/>
        <v>1.8977839575082138</v>
      </c>
      <c r="P28" s="35">
        <f t="shared" si="10"/>
        <v>4.9834346131807643E-2</v>
      </c>
      <c r="Q28" s="35">
        <f t="shared" si="10"/>
        <v>0.29084623145808686</v>
      </c>
      <c r="R28" s="35">
        <f t="shared" si="10"/>
        <v>5.7691571209262084E-2</v>
      </c>
      <c r="S28" s="35">
        <f t="shared" si="10"/>
        <v>0.12351649469160367</v>
      </c>
      <c r="T28" s="35">
        <f t="shared" si="10"/>
        <v>0.19186344015820012</v>
      </c>
      <c r="U28" s="35">
        <f t="shared" si="10"/>
        <v>0.37989676348492152</v>
      </c>
      <c r="V28" s="35">
        <f t="shared" si="10"/>
        <v>0.24835936244298135</v>
      </c>
      <c r="W28" s="35">
        <f t="shared" si="10"/>
        <v>0.91237690408108885</v>
      </c>
      <c r="X28" s="35">
        <f t="shared" si="10"/>
        <v>0.35012509508710876</v>
      </c>
      <c r="Y28" s="35">
        <f t="shared" si="10"/>
        <v>0.32623197457318059</v>
      </c>
      <c r="Z28" s="35">
        <f t="shared" si="10"/>
        <v>0.14659575478076242</v>
      </c>
      <c r="AA28" s="33"/>
    </row>
    <row r="29" spans="1:27" s="34" customFormat="1" ht="19.95" customHeight="1">
      <c r="A29" s="31" t="s">
        <v>97</v>
      </c>
      <c r="B29" s="32">
        <f>_xlfn.STDEV.S(B22:B26)</f>
        <v>5.7557117952819301E-2</v>
      </c>
      <c r="C29" s="32">
        <f t="shared" ref="C29:H29" si="11">_xlfn.STDEV.S(C22:C26)</f>
        <v>4.5682570211580169E-2</v>
      </c>
      <c r="D29" s="32">
        <f t="shared" si="11"/>
        <v>7.2157764638742503E-2</v>
      </c>
      <c r="E29" s="32">
        <f t="shared" si="11"/>
        <v>3.4900531154429183E-2</v>
      </c>
      <c r="F29" s="32">
        <f t="shared" si="11"/>
        <v>0.79289572410231846</v>
      </c>
      <c r="G29" s="32">
        <f t="shared" si="11"/>
        <v>1.2438825419831491E-2</v>
      </c>
      <c r="H29" s="32">
        <f t="shared" si="11"/>
        <v>7.0406779066868666E-2</v>
      </c>
      <c r="I29" s="32"/>
      <c r="J29" s="32">
        <f t="shared" ref="J29:Z29" si="12">_xlfn.STDEV.S(J22:J26)</f>
        <v>0.37748733050992095</v>
      </c>
      <c r="K29" s="32">
        <f t="shared" si="12"/>
        <v>0.38801426567956793</v>
      </c>
      <c r="L29" s="32">
        <f t="shared" si="12"/>
        <v>0.23621852117058265</v>
      </c>
      <c r="M29" s="32">
        <f t="shared" si="12"/>
        <v>7.9017139251665869E-2</v>
      </c>
      <c r="N29" s="32">
        <f t="shared" si="12"/>
        <v>0.12499048148891459</v>
      </c>
      <c r="O29" s="32">
        <f t="shared" si="12"/>
        <v>1.5284198947973175</v>
      </c>
      <c r="P29" s="32">
        <f t="shared" si="12"/>
        <v>4.0135130118856471E-2</v>
      </c>
      <c r="Q29" s="32">
        <f t="shared" si="12"/>
        <v>0.2342390790735944</v>
      </c>
      <c r="R29" s="32">
        <f t="shared" si="12"/>
        <v>4.6463110223636014E-2</v>
      </c>
      <c r="S29" s="32">
        <f t="shared" si="12"/>
        <v>9.9476585348602417E-2</v>
      </c>
      <c r="T29" s="32">
        <f t="shared" si="12"/>
        <v>0.15452122348377395</v>
      </c>
      <c r="U29" s="32">
        <f t="shared" si="12"/>
        <v>0.30595778248744737</v>
      </c>
      <c r="V29" s="32">
        <f t="shared" si="12"/>
        <v>0.20002139290683066</v>
      </c>
      <c r="W29" s="32">
        <f t="shared" si="12"/>
        <v>0.73480177036699634</v>
      </c>
      <c r="X29" s="32">
        <f t="shared" si="12"/>
        <v>0.2819805483557648</v>
      </c>
      <c r="Y29" s="32">
        <f t="shared" si="12"/>
        <v>0.26273772537910378</v>
      </c>
      <c r="Z29" s="32">
        <f t="shared" si="12"/>
        <v>0.11806394885640005</v>
      </c>
      <c r="AA29" s="33"/>
    </row>
    <row r="30" spans="1:27" s="34" customFormat="1" ht="19.95" customHeight="1">
      <c r="A30" s="31" t="s">
        <v>98</v>
      </c>
      <c r="B30" s="32">
        <f>MIN(B22:B26)</f>
        <v>4.4606411457061803</v>
      </c>
      <c r="C30" s="32">
        <f t="shared" ref="C30:H30" si="13">MIN(C22:C26)</f>
        <v>4.8409218788146999</v>
      </c>
      <c r="D30" s="32">
        <f t="shared" si="13"/>
        <v>9.1112141609191895</v>
      </c>
      <c r="E30" s="32">
        <f t="shared" si="13"/>
        <v>12.365380048751801</v>
      </c>
      <c r="F30" s="32">
        <f>MIN(F22:F26)</f>
        <v>15.3397281169891</v>
      </c>
      <c r="G30" s="32">
        <f t="shared" si="13"/>
        <v>18.738732814788801</v>
      </c>
      <c r="H30" s="32">
        <f t="shared" si="13"/>
        <v>21.068002939224201</v>
      </c>
      <c r="I30" s="32"/>
      <c r="J30" s="32">
        <f>MIN(J22:J26)</f>
        <v>4.7524139881133998</v>
      </c>
      <c r="K30" s="32">
        <f t="shared" ref="K30:Z30" si="14">MIN(K22:K26)</f>
        <v>8.6045980453491193</v>
      </c>
      <c r="L30" s="32">
        <f t="shared" si="14"/>
        <v>11.257453918456999</v>
      </c>
      <c r="M30" s="32">
        <f>MIN(M22:M26)</f>
        <v>13.746637821197501</v>
      </c>
      <c r="N30" s="32">
        <f t="shared" si="14"/>
        <v>16.588846206665</v>
      </c>
      <c r="O30" s="32">
        <f t="shared" si="14"/>
        <v>17.844492912292498</v>
      </c>
      <c r="P30" s="32">
        <f t="shared" si="14"/>
        <v>18.807103872299201</v>
      </c>
      <c r="Q30" s="32">
        <f t="shared" si="14"/>
        <v>19.277328968048099</v>
      </c>
      <c r="R30" s="32">
        <f t="shared" si="14"/>
        <v>19.598977088928201</v>
      </c>
      <c r="S30" s="32">
        <f t="shared" si="14"/>
        <v>20.3569672107697</v>
      </c>
      <c r="T30" s="32">
        <f t="shared" si="14"/>
        <v>20.922966003418001</v>
      </c>
      <c r="U30" s="32">
        <f t="shared" si="14"/>
        <v>21.7413458824158</v>
      </c>
      <c r="V30" s="32">
        <f t="shared" si="14"/>
        <v>22.2635159492493</v>
      </c>
      <c r="W30" s="32">
        <f t="shared" si="14"/>
        <v>22.883382081985499</v>
      </c>
      <c r="X30" s="32">
        <f t="shared" si="14"/>
        <v>23.5503799915314</v>
      </c>
      <c r="Y30" s="32">
        <f t="shared" si="14"/>
        <v>23.460900068283099</v>
      </c>
      <c r="Z30" s="32">
        <f t="shared" si="14"/>
        <v>11.406731605529799</v>
      </c>
      <c r="AA30" s="33"/>
    </row>
    <row r="31" spans="1:27" s="34" customFormat="1" ht="19.95" customHeight="1">
      <c r="A31" s="33" t="s">
        <v>99</v>
      </c>
      <c r="B31" s="35">
        <f>MAX(B22:B26)</f>
        <v>4.5917172431945801</v>
      </c>
      <c r="C31" s="35">
        <f>MAX(C22:C26)</f>
        <v>4.9551160335540798</v>
      </c>
      <c r="D31" s="35">
        <f t="shared" ref="D31:H31" si="15">MAX(D22:D26)</f>
        <v>9.26721096038818</v>
      </c>
      <c r="E31" s="35">
        <f t="shared" si="15"/>
        <v>12.450159072876</v>
      </c>
      <c r="F31" s="35">
        <f t="shared" si="15"/>
        <v>17.191664218902599</v>
      </c>
      <c r="G31" s="35">
        <f t="shared" si="15"/>
        <v>18.7671701908112</v>
      </c>
      <c r="H31" s="35">
        <f t="shared" si="15"/>
        <v>21.244019746780399</v>
      </c>
      <c r="I31" s="35"/>
      <c r="J31" s="35">
        <f t="shared" ref="J31" si="16">MAX(J22:J26)</f>
        <v>5.6158699989318901</v>
      </c>
      <c r="K31" s="35">
        <f>MAX(K22:K26)</f>
        <v>9.5346739292144793</v>
      </c>
      <c r="L31" s="35">
        <f t="shared" ref="L31:Z31" si="17">MAX(L22:L26)</f>
        <v>11.8492159843445</v>
      </c>
      <c r="M31" s="35">
        <f t="shared" si="17"/>
        <v>13.935206890106199</v>
      </c>
      <c r="N31" s="35">
        <f t="shared" si="17"/>
        <v>16.910733938217199</v>
      </c>
      <c r="O31" s="35">
        <f t="shared" si="17"/>
        <v>21.3084940910339</v>
      </c>
      <c r="P31" s="35">
        <f t="shared" si="17"/>
        <v>18.917550086975101</v>
      </c>
      <c r="Q31" s="35">
        <f t="shared" si="17"/>
        <v>19.857362031936599</v>
      </c>
      <c r="R31" s="35">
        <f t="shared" si="17"/>
        <v>19.713666915893601</v>
      </c>
      <c r="S31" s="35">
        <f t="shared" si="17"/>
        <v>20.613444805145299</v>
      </c>
      <c r="T31" s="35">
        <f t="shared" si="17"/>
        <v>21.298633098602298</v>
      </c>
      <c r="U31" s="35">
        <f t="shared" si="17"/>
        <v>22.486841678619399</v>
      </c>
      <c r="V31" s="35">
        <f t="shared" si="17"/>
        <v>22.738208055496202</v>
      </c>
      <c r="W31" s="35">
        <f t="shared" si="17"/>
        <v>24.6933271884918</v>
      </c>
      <c r="X31" s="35">
        <f t="shared" si="17"/>
        <v>24.276509046554601</v>
      </c>
      <c r="Y31" s="35">
        <f t="shared" si="17"/>
        <v>24.1208882331848</v>
      </c>
      <c r="Z31" s="35">
        <f t="shared" si="17"/>
        <v>11.735870838165299</v>
      </c>
      <c r="AA31" s="33"/>
    </row>
    <row r="32" spans="1:27" s="34" customFormat="1" ht="19.95" customHeight="1">
      <c r="A32" s="33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3"/>
    </row>
    <row r="33" spans="1:27" ht="32.4" hidden="1" customHeight="1">
      <c r="A33" s="8"/>
      <c r="B33" s="9" t="s">
        <v>26</v>
      </c>
      <c r="C33" s="10" t="s">
        <v>27</v>
      </c>
      <c r="D33" s="10" t="s">
        <v>28</v>
      </c>
      <c r="E33" s="10" t="s">
        <v>64</v>
      </c>
      <c r="F33" s="10" t="s">
        <v>30</v>
      </c>
      <c r="G33" s="10" t="s">
        <v>31</v>
      </c>
      <c r="H33" s="10" t="s">
        <v>32</v>
      </c>
      <c r="I33" s="8"/>
      <c r="J33" s="10" t="s">
        <v>33</v>
      </c>
      <c r="K33" s="10" t="s">
        <v>34</v>
      </c>
      <c r="L33" s="10" t="s">
        <v>35</v>
      </c>
      <c r="M33" s="10" t="s">
        <v>36</v>
      </c>
      <c r="N33" s="10" t="s">
        <v>37</v>
      </c>
      <c r="O33" s="10" t="s">
        <v>38</v>
      </c>
      <c r="P33" s="10" t="s">
        <v>39</v>
      </c>
      <c r="Q33" s="10" t="s">
        <v>40</v>
      </c>
      <c r="R33" s="10" t="s">
        <v>41</v>
      </c>
      <c r="S33" s="10" t="s">
        <v>42</v>
      </c>
      <c r="T33" s="10" t="s">
        <v>43</v>
      </c>
      <c r="U33" s="10" t="s">
        <v>44</v>
      </c>
      <c r="V33" s="10" t="s">
        <v>45</v>
      </c>
      <c r="W33" s="10" t="s">
        <v>46</v>
      </c>
      <c r="X33" s="10" t="s">
        <v>47</v>
      </c>
      <c r="Y33" s="10" t="s">
        <v>48</v>
      </c>
      <c r="Z33" s="9" t="s">
        <v>49</v>
      </c>
      <c r="AA33" s="8"/>
    </row>
    <row r="34" spans="1:27" ht="43.95" hidden="1" customHeight="1">
      <c r="A34" s="8"/>
      <c r="B34" s="9" t="s">
        <v>50</v>
      </c>
      <c r="C34" s="10" t="s">
        <v>50</v>
      </c>
      <c r="D34" s="10" t="s">
        <v>51</v>
      </c>
      <c r="E34" s="10" t="s">
        <v>52</v>
      </c>
      <c r="F34" s="10" t="s">
        <v>53</v>
      </c>
      <c r="G34" s="10" t="s">
        <v>54</v>
      </c>
      <c r="H34" s="10" t="s">
        <v>55</v>
      </c>
      <c r="I34" s="8"/>
      <c r="J34" s="10" t="s">
        <v>56</v>
      </c>
      <c r="K34" s="10" t="s">
        <v>57</v>
      </c>
      <c r="L34" s="10" t="s">
        <v>58</v>
      </c>
      <c r="M34" s="10" t="s">
        <v>59</v>
      </c>
      <c r="N34" s="10" t="s">
        <v>60</v>
      </c>
      <c r="O34" s="10" t="s">
        <v>61</v>
      </c>
      <c r="P34" s="10" t="s">
        <v>61</v>
      </c>
      <c r="Q34" s="10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9" t="s">
        <v>61</v>
      </c>
      <c r="AA34" s="8"/>
    </row>
    <row r="35" spans="1:27" ht="19.95" hidden="1" customHeight="1">
      <c r="A35" s="10" t="s">
        <v>65</v>
      </c>
      <c r="B35" s="12">
        <v>5.3582038879394496</v>
      </c>
      <c r="C35" s="11">
        <v>5.0992712974548304</v>
      </c>
      <c r="D35" s="11">
        <v>87.707050085067806</v>
      </c>
      <c r="E35" s="11">
        <v>173.64929723739601</v>
      </c>
      <c r="F35" s="11">
        <v>317.80685496330301</v>
      </c>
      <c r="G35" s="11">
        <v>499.91657495498703</v>
      </c>
      <c r="H35" s="11">
        <v>614.87495398521401</v>
      </c>
      <c r="I35" s="8"/>
      <c r="J35" s="11">
        <v>5.40982890129089</v>
      </c>
      <c r="K35" s="11">
        <v>84.141637325286894</v>
      </c>
      <c r="L35" s="11">
        <v>166.63398504257199</v>
      </c>
      <c r="M35" s="11">
        <v>252.897311925888</v>
      </c>
      <c r="N35" s="11">
        <v>454.645318746567</v>
      </c>
      <c r="O35" s="11">
        <v>662.91850805282604</v>
      </c>
      <c r="P35" s="11">
        <v>645.61853313445999</v>
      </c>
      <c r="Q35" s="11">
        <v>627.04033803939797</v>
      </c>
      <c r="R35" s="11">
        <v>673.31955885887203</v>
      </c>
      <c r="S35" s="11">
        <v>632.42911124229397</v>
      </c>
      <c r="T35" s="11">
        <v>579.16277003288303</v>
      </c>
      <c r="U35" s="11">
        <v>543.60547590255703</v>
      </c>
      <c r="V35" s="11">
        <v>564.60227584838901</v>
      </c>
      <c r="W35" s="11">
        <v>463.38434505462601</v>
      </c>
      <c r="X35" s="11">
        <v>426.03708815574601</v>
      </c>
      <c r="Y35" s="11">
        <v>414.763782739639</v>
      </c>
      <c r="Z35" s="12">
        <v>505.50657701492298</v>
      </c>
      <c r="AA35" s="8"/>
    </row>
    <row r="36" spans="1:27" ht="19.95" hidden="1" customHeight="1">
      <c r="A36" s="11">
        <v>0</v>
      </c>
      <c r="B36" s="12">
        <v>17.376672744751001</v>
      </c>
      <c r="C36" s="11">
        <v>17.384340286254901</v>
      </c>
      <c r="D36" s="11">
        <v>146.364494085312</v>
      </c>
      <c r="E36" s="11">
        <v>251.81311202049301</v>
      </c>
      <c r="F36" s="11">
        <v>328.78452706336998</v>
      </c>
      <c r="G36" s="11">
        <v>429.24914312362699</v>
      </c>
      <c r="H36" s="11">
        <v>577.40337681770302</v>
      </c>
      <c r="I36" s="8"/>
      <c r="J36" s="11">
        <v>17.246826887130698</v>
      </c>
      <c r="K36" s="11">
        <v>145.45755791664101</v>
      </c>
      <c r="L36" s="11">
        <v>234.923774957657</v>
      </c>
      <c r="M36" s="11">
        <v>325.290720939636</v>
      </c>
      <c r="N36" s="11">
        <v>441.06619191169699</v>
      </c>
      <c r="O36" s="11">
        <v>571.62735605239902</v>
      </c>
      <c r="P36" s="11">
        <v>589.07944273948704</v>
      </c>
      <c r="Q36" s="11">
        <v>575.82450175285305</v>
      </c>
      <c r="R36" s="11">
        <v>561.21894192695595</v>
      </c>
      <c r="S36" s="11">
        <v>590.57013726234402</v>
      </c>
      <c r="T36" s="11">
        <v>561.23503589630104</v>
      </c>
      <c r="U36" s="11">
        <v>564.33446502685604</v>
      </c>
      <c r="V36" s="11">
        <v>536.18788909912098</v>
      </c>
      <c r="W36" s="11">
        <v>532.67808389663696</v>
      </c>
      <c r="X36" s="11">
        <v>578.06978988647495</v>
      </c>
      <c r="Y36" s="11">
        <v>646.70063185691799</v>
      </c>
      <c r="Z36" s="12">
        <v>539.68272590637196</v>
      </c>
      <c r="AA36" s="8"/>
    </row>
    <row r="37" spans="1:27" ht="19.95" hidden="1" customHeight="1">
      <c r="A37" s="11">
        <v>1</v>
      </c>
      <c r="B37" s="12">
        <v>17.378597021102902</v>
      </c>
      <c r="C37" s="11">
        <v>17.352391958236701</v>
      </c>
      <c r="D37" s="11">
        <v>144.94820094108599</v>
      </c>
      <c r="E37" s="11">
        <v>235.591154098511</v>
      </c>
      <c r="F37" s="11">
        <v>307.68553400039701</v>
      </c>
      <c r="G37" s="11">
        <v>436.97496509552002</v>
      </c>
      <c r="H37" s="11">
        <v>496.87301707267801</v>
      </c>
      <c r="I37" s="8"/>
      <c r="J37" s="11">
        <v>17.224217176437399</v>
      </c>
      <c r="K37" s="11">
        <v>147.475101947784</v>
      </c>
      <c r="L37" s="11">
        <v>239.69908499717701</v>
      </c>
      <c r="M37" s="11">
        <v>326.42595410347002</v>
      </c>
      <c r="N37" s="11">
        <v>412.09339690208401</v>
      </c>
      <c r="O37" s="11">
        <v>529.91021895408596</v>
      </c>
      <c r="P37" s="11">
        <v>537.49719071388199</v>
      </c>
      <c r="Q37" s="11">
        <v>523.33984494209301</v>
      </c>
      <c r="R37" s="11">
        <v>511.99495506286598</v>
      </c>
      <c r="S37" s="11">
        <v>521.95817184448197</v>
      </c>
      <c r="T37" s="11">
        <v>513.94930720329296</v>
      </c>
      <c r="U37" s="11">
        <v>516.47220921516396</v>
      </c>
      <c r="V37" s="11">
        <v>506.41122198104898</v>
      </c>
      <c r="W37" s="11">
        <v>501.62880635261502</v>
      </c>
      <c r="X37" s="11">
        <v>520.14987206459102</v>
      </c>
      <c r="Y37" s="11">
        <v>625.99120497703598</v>
      </c>
      <c r="Z37" s="12">
        <v>526.20670294761703</v>
      </c>
      <c r="AA37" s="8"/>
    </row>
    <row r="38" spans="1:27" ht="19.95" hidden="1" customHeight="1">
      <c r="A38" s="11">
        <v>2</v>
      </c>
      <c r="B38" s="12">
        <v>17.3264081478119</v>
      </c>
      <c r="C38" s="11">
        <v>17.423637866973898</v>
      </c>
      <c r="D38" s="11">
        <v>145.93256688118001</v>
      </c>
      <c r="E38" s="11">
        <v>230.95613694190999</v>
      </c>
      <c r="F38" s="11">
        <v>316.12959909439098</v>
      </c>
      <c r="G38" s="11">
        <v>472.00778102874801</v>
      </c>
      <c r="H38" s="11">
        <v>519.74946713447605</v>
      </c>
      <c r="I38" s="8"/>
      <c r="J38" s="11">
        <v>17.209167003631599</v>
      </c>
      <c r="K38" s="11">
        <v>144.53406810760501</v>
      </c>
      <c r="L38" s="11">
        <v>231.660975694656</v>
      </c>
      <c r="M38" s="11">
        <v>324.64153504371598</v>
      </c>
      <c r="N38" s="11">
        <v>420.04627394676203</v>
      </c>
      <c r="O38" s="11">
        <v>518.67869901657104</v>
      </c>
      <c r="P38" s="11">
        <v>544.23399281501804</v>
      </c>
      <c r="Q38" s="11">
        <v>500.03169274330099</v>
      </c>
      <c r="R38" s="11">
        <v>505.41436100006098</v>
      </c>
      <c r="S38" s="11">
        <v>500.92802095413202</v>
      </c>
      <c r="T38" s="11">
        <v>507.54137897491501</v>
      </c>
      <c r="U38" s="11">
        <v>506.36643409728998</v>
      </c>
      <c r="V38" s="11">
        <v>505.23348307609598</v>
      </c>
      <c r="W38" s="11">
        <v>496.98323297500599</v>
      </c>
      <c r="X38" s="11">
        <v>527.62345409393299</v>
      </c>
      <c r="Y38" s="11">
        <v>634.31919002533004</v>
      </c>
      <c r="Z38" s="12">
        <v>527.14834403991699</v>
      </c>
      <c r="AA38" s="8"/>
    </row>
    <row r="39" spans="1:27" ht="19.95" hidden="1" customHeight="1">
      <c r="A39" s="11">
        <v>3</v>
      </c>
      <c r="B39" s="12">
        <v>17.313838958740199</v>
      </c>
      <c r="C39" s="11">
        <v>17.414466857910199</v>
      </c>
      <c r="D39" s="11">
        <v>145.513560771942</v>
      </c>
      <c r="E39" s="11">
        <v>222.82654094695999</v>
      </c>
      <c r="F39" s="11">
        <v>323.25332927703897</v>
      </c>
      <c r="G39" s="11">
        <v>445.63426017761202</v>
      </c>
      <c r="H39" s="11">
        <v>507.67965888977102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7"/>
      <c r="AA39" s="8"/>
    </row>
    <row r="40" spans="1:27" ht="19.95" hidden="1" customHeight="1">
      <c r="A40" s="11">
        <v>4</v>
      </c>
      <c r="B40" s="12">
        <v>17.343296051025401</v>
      </c>
      <c r="C40" s="11">
        <v>17.438707113265998</v>
      </c>
      <c r="D40" s="11">
        <v>147.14936494827299</v>
      </c>
      <c r="E40" s="11">
        <v>227.71864914894101</v>
      </c>
      <c r="F40" s="11">
        <v>323.52133798599198</v>
      </c>
      <c r="G40" s="11">
        <v>438.42441225051903</v>
      </c>
      <c r="H40" s="11">
        <v>504.01427578926098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7"/>
      <c r="AA40" s="8"/>
    </row>
    <row r="41" spans="1:27" ht="19.95" hidden="1" customHeight="1">
      <c r="A41" s="11">
        <v>5</v>
      </c>
      <c r="B41" s="12">
        <v>17.357346773147601</v>
      </c>
      <c r="C41" s="11">
        <v>17.381112098693801</v>
      </c>
      <c r="D41" s="11">
        <v>150.97953701019301</v>
      </c>
      <c r="E41" s="11">
        <v>233.475734949112</v>
      </c>
      <c r="F41" s="11">
        <v>323.75783610343899</v>
      </c>
      <c r="G41" s="11">
        <v>399.465531826019</v>
      </c>
      <c r="H41" s="11">
        <v>495.35320782661398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7"/>
      <c r="AA41" s="8"/>
    </row>
    <row r="42" spans="1:27" ht="19.95" hidden="1" customHeight="1">
      <c r="A42" s="13" t="s">
        <v>62</v>
      </c>
      <c r="B42" s="14">
        <f t="shared" ref="B42:H42" si="18">AVERAGE(B37:B41)</f>
        <v>17.343897390365601</v>
      </c>
      <c r="C42" s="15">
        <f t="shared" si="18"/>
        <v>17.402063179016121</v>
      </c>
      <c r="D42" s="15">
        <f t="shared" si="18"/>
        <v>146.90464611053477</v>
      </c>
      <c r="E42" s="15">
        <f t="shared" si="18"/>
        <v>230.1136432170868</v>
      </c>
      <c r="F42" s="15">
        <f t="shared" si="18"/>
        <v>318.86952729225158</v>
      </c>
      <c r="G42" s="15">
        <f t="shared" si="18"/>
        <v>438.50139007568362</v>
      </c>
      <c r="H42" s="15">
        <f t="shared" si="18"/>
        <v>504.73392534255998</v>
      </c>
      <c r="I42" s="16"/>
      <c r="J42" s="15">
        <f t="shared" ref="J42:Z42" si="19">AVERAGE(J37:J41)</f>
        <v>17.216692090034499</v>
      </c>
      <c r="K42" s="15">
        <f t="shared" si="19"/>
        <v>146.0045850276945</v>
      </c>
      <c r="L42" s="15">
        <f t="shared" si="19"/>
        <v>235.68003034591652</v>
      </c>
      <c r="M42" s="15">
        <f t="shared" si="19"/>
        <v>325.53374457359303</v>
      </c>
      <c r="N42" s="15">
        <f t="shared" si="19"/>
        <v>416.06983542442299</v>
      </c>
      <c r="O42" s="15">
        <f t="shared" si="19"/>
        <v>524.29445898532845</v>
      </c>
      <c r="P42" s="15">
        <f t="shared" si="19"/>
        <v>540.86559176445007</v>
      </c>
      <c r="Q42" s="15">
        <f t="shared" si="19"/>
        <v>511.68576884269703</v>
      </c>
      <c r="R42" s="15">
        <f t="shared" si="19"/>
        <v>508.70465803146351</v>
      </c>
      <c r="S42" s="15">
        <f t="shared" si="19"/>
        <v>511.44309639930702</v>
      </c>
      <c r="T42" s="15">
        <f t="shared" si="19"/>
        <v>510.74534308910398</v>
      </c>
      <c r="U42" s="15">
        <f t="shared" si="19"/>
        <v>511.419321656227</v>
      </c>
      <c r="V42" s="15">
        <f t="shared" si="19"/>
        <v>505.82235252857248</v>
      </c>
      <c r="W42" s="15">
        <f t="shared" si="19"/>
        <v>499.3060196638105</v>
      </c>
      <c r="X42" s="15">
        <f t="shared" si="19"/>
        <v>523.88666307926201</v>
      </c>
      <c r="Y42" s="15">
        <f t="shared" si="19"/>
        <v>630.15519750118301</v>
      </c>
      <c r="Z42" s="14">
        <f t="shared" si="19"/>
        <v>526.67752349376701</v>
      </c>
      <c r="AA42" s="16"/>
    </row>
    <row r="43" spans="1:27" ht="19.95" hidden="1" customHeight="1">
      <c r="A43" s="8"/>
      <c r="B43" s="1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7"/>
      <c r="AA43" s="8"/>
    </row>
    <row r="44" spans="1:27" ht="19.95" hidden="1" customHeight="1">
      <c r="A44" s="8"/>
      <c r="B44" s="1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7"/>
      <c r="AA44" s="8"/>
    </row>
    <row r="45" spans="1:27" ht="19.95" hidden="1" customHeight="1">
      <c r="A45" s="16"/>
      <c r="B45" s="18" t="s">
        <v>66</v>
      </c>
      <c r="C45" s="16"/>
      <c r="D45" s="16"/>
      <c r="E45" s="16"/>
      <c r="F45" s="16"/>
      <c r="G45" s="16"/>
      <c r="H45" s="13" t="s">
        <v>66</v>
      </c>
      <c r="I45" s="16"/>
      <c r="J45" s="13" t="s">
        <v>66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8" t="s">
        <v>66</v>
      </c>
      <c r="AA45" s="16"/>
    </row>
    <row r="46" spans="1:27" ht="31.95" hidden="1" customHeight="1">
      <c r="A46" s="8"/>
      <c r="B46" s="9" t="s">
        <v>26</v>
      </c>
      <c r="C46" s="10" t="s">
        <v>27</v>
      </c>
      <c r="D46" s="10" t="s">
        <v>28</v>
      </c>
      <c r="E46" s="10" t="s">
        <v>29</v>
      </c>
      <c r="F46" s="10" t="s">
        <v>30</v>
      </c>
      <c r="G46" s="10" t="s">
        <v>31</v>
      </c>
      <c r="H46" s="10" t="s">
        <v>32</v>
      </c>
      <c r="I46" s="8"/>
      <c r="J46" s="10" t="s">
        <v>33</v>
      </c>
      <c r="K46" s="10" t="s">
        <v>34</v>
      </c>
      <c r="L46" s="10" t="s">
        <v>35</v>
      </c>
      <c r="M46" s="10" t="s">
        <v>36</v>
      </c>
      <c r="N46" s="10" t="s">
        <v>37</v>
      </c>
      <c r="O46" s="10" t="s">
        <v>38</v>
      </c>
      <c r="P46" s="10" t="s">
        <v>39</v>
      </c>
      <c r="Q46" s="10" t="s">
        <v>40</v>
      </c>
      <c r="R46" s="10" t="s">
        <v>41</v>
      </c>
      <c r="S46" s="10" t="s">
        <v>42</v>
      </c>
      <c r="T46" s="10" t="s">
        <v>43</v>
      </c>
      <c r="U46" s="10" t="s">
        <v>44</v>
      </c>
      <c r="V46" s="10" t="s">
        <v>45</v>
      </c>
      <c r="W46" s="10" t="s">
        <v>46</v>
      </c>
      <c r="X46" s="10" t="s">
        <v>47</v>
      </c>
      <c r="Y46" s="10" t="s">
        <v>48</v>
      </c>
      <c r="Z46" s="9" t="s">
        <v>49</v>
      </c>
      <c r="AA46" s="8"/>
    </row>
    <row r="47" spans="1:27" ht="43.95" hidden="1" customHeight="1">
      <c r="A47" s="8"/>
      <c r="B47" s="9" t="s">
        <v>50</v>
      </c>
      <c r="C47" s="10" t="s">
        <v>50</v>
      </c>
      <c r="D47" s="10" t="s">
        <v>51</v>
      </c>
      <c r="E47" s="10" t="s">
        <v>52</v>
      </c>
      <c r="F47" s="10" t="s">
        <v>53</v>
      </c>
      <c r="G47" s="10" t="s">
        <v>54</v>
      </c>
      <c r="H47" s="10" t="s">
        <v>55</v>
      </c>
      <c r="I47" s="8"/>
      <c r="J47" s="10" t="s">
        <v>56</v>
      </c>
      <c r="K47" s="10" t="s">
        <v>57</v>
      </c>
      <c r="L47" s="10" t="s">
        <v>58</v>
      </c>
      <c r="M47" s="10" t="s">
        <v>59</v>
      </c>
      <c r="N47" s="10" t="s">
        <v>60</v>
      </c>
      <c r="O47" s="10" t="s">
        <v>61</v>
      </c>
      <c r="P47" s="10" t="s">
        <v>61</v>
      </c>
      <c r="Q47" s="10" t="s">
        <v>61</v>
      </c>
      <c r="R47" s="10" t="s">
        <v>61</v>
      </c>
      <c r="S47" s="10" t="s">
        <v>61</v>
      </c>
      <c r="T47" s="10" t="s">
        <v>61</v>
      </c>
      <c r="U47" s="10" t="s">
        <v>61</v>
      </c>
      <c r="V47" s="10" t="s">
        <v>61</v>
      </c>
      <c r="W47" s="10" t="s">
        <v>61</v>
      </c>
      <c r="X47" s="10" t="s">
        <v>61</v>
      </c>
      <c r="Y47" s="10" t="s">
        <v>61</v>
      </c>
      <c r="Z47" s="9" t="s">
        <v>61</v>
      </c>
      <c r="AA47" s="8"/>
    </row>
    <row r="48" spans="1:27" ht="19.95" hidden="1" customHeight="1">
      <c r="A48" s="11">
        <v>0</v>
      </c>
      <c r="B48" s="12">
        <v>1.6155493259429901</v>
      </c>
      <c r="C48" s="11">
        <v>1.71061992645264</v>
      </c>
      <c r="D48" s="11">
        <v>3.7915060520172101</v>
      </c>
      <c r="E48" s="11">
        <v>80.025035142898602</v>
      </c>
      <c r="F48" s="11">
        <v>64.3579421043396</v>
      </c>
      <c r="G48" s="11">
        <v>42.574478149414098</v>
      </c>
      <c r="H48" s="11">
        <v>60.213580846786499</v>
      </c>
      <c r="I48" s="8"/>
      <c r="J48" s="11">
        <v>1.5930156707763701</v>
      </c>
      <c r="K48" s="11">
        <v>3.4203782081603999</v>
      </c>
      <c r="L48" s="11">
        <v>71.644613981247005</v>
      </c>
      <c r="M48" s="11">
        <v>85.841001272201495</v>
      </c>
      <c r="N48" s="11">
        <v>98.022771120071397</v>
      </c>
      <c r="O48" s="11">
        <v>100.008030891418</v>
      </c>
      <c r="P48" s="11">
        <v>103.418279886246</v>
      </c>
      <c r="Q48" s="11">
        <v>102.345125198364</v>
      </c>
      <c r="R48" s="11">
        <v>104.996852874756</v>
      </c>
      <c r="S48" s="11">
        <v>111.882548093796</v>
      </c>
      <c r="T48" s="11">
        <v>115.29981064796399</v>
      </c>
      <c r="U48" s="11">
        <v>121.195188999176</v>
      </c>
      <c r="V48" s="11">
        <v>126.431880950928</v>
      </c>
      <c r="W48" s="11">
        <v>130.76099991798401</v>
      </c>
      <c r="X48" s="11">
        <v>149.347098827362</v>
      </c>
      <c r="Y48" s="11">
        <v>138.90641903877301</v>
      </c>
      <c r="Z48" s="12">
        <v>17.7274539470673</v>
      </c>
      <c r="AA48" s="8"/>
    </row>
    <row r="49" spans="1:27" ht="19.95" hidden="1" customHeight="1">
      <c r="A49" s="11">
        <v>1</v>
      </c>
      <c r="B49" s="12">
        <v>0.70103788375854503</v>
      </c>
      <c r="C49" s="11">
        <v>0.76849198341369596</v>
      </c>
      <c r="D49" s="11">
        <v>2.1810560226440399</v>
      </c>
      <c r="E49" s="11">
        <v>68.278038024902301</v>
      </c>
      <c r="F49" s="11">
        <v>53.433337211608901</v>
      </c>
      <c r="G49" s="11">
        <v>32.6733911037445</v>
      </c>
      <c r="H49" s="11">
        <v>45.511193037033102</v>
      </c>
      <c r="I49" s="8"/>
      <c r="J49" s="11">
        <v>0.76006603240966797</v>
      </c>
      <c r="K49" s="11">
        <v>1.7058088779449501</v>
      </c>
      <c r="L49" s="11">
        <v>64.645973920822101</v>
      </c>
      <c r="M49" s="11">
        <v>75.906536102294893</v>
      </c>
      <c r="N49" s="11">
        <v>80.522668838501005</v>
      </c>
      <c r="O49" s="11">
        <v>81.802067041397095</v>
      </c>
      <c r="P49" s="11">
        <v>84.673820734024105</v>
      </c>
      <c r="Q49" s="11">
        <v>85.522736310958905</v>
      </c>
      <c r="R49" s="11">
        <v>87.9357039928436</v>
      </c>
      <c r="S49" s="11">
        <v>91.648667097091703</v>
      </c>
      <c r="T49" s="11">
        <v>93.949085950851398</v>
      </c>
      <c r="U49" s="11">
        <v>99.979896068572998</v>
      </c>
      <c r="V49" s="11">
        <v>103.464236021042</v>
      </c>
      <c r="W49" s="11">
        <v>109.31973195076</v>
      </c>
      <c r="X49" s="11">
        <v>121.530066013336</v>
      </c>
      <c r="Y49" s="11">
        <v>119.04950761795</v>
      </c>
      <c r="Z49" s="12">
        <v>16.472032308578498</v>
      </c>
      <c r="AA49" s="8"/>
    </row>
    <row r="50" spans="1:27" ht="19.95" hidden="1" customHeight="1">
      <c r="A50" s="11">
        <v>2</v>
      </c>
      <c r="B50" s="12">
        <v>0.73969793319702204</v>
      </c>
      <c r="C50" s="11">
        <v>0.76636695861816395</v>
      </c>
      <c r="D50" s="11">
        <v>1.9043481349945099</v>
      </c>
      <c r="E50" s="11">
        <v>67.560060977935805</v>
      </c>
      <c r="F50" s="11">
        <v>56.027849197387702</v>
      </c>
      <c r="G50" s="11">
        <v>32.169924259185798</v>
      </c>
      <c r="H50" s="11">
        <v>45.097071886062601</v>
      </c>
      <c r="I50" s="8"/>
      <c r="J50" s="11">
        <v>0.69446682929992698</v>
      </c>
      <c r="K50" s="11">
        <v>1.6865811347961399</v>
      </c>
      <c r="L50" s="11">
        <v>64.560284852981596</v>
      </c>
      <c r="M50" s="11">
        <v>75.108479976654095</v>
      </c>
      <c r="N50" s="11">
        <v>81.924046993255601</v>
      </c>
      <c r="O50" s="11">
        <v>83.519275903701796</v>
      </c>
      <c r="P50" s="11">
        <v>84.974035978317303</v>
      </c>
      <c r="Q50" s="11">
        <v>85.950191020965605</v>
      </c>
      <c r="R50" s="11">
        <v>87.1306538581848</v>
      </c>
      <c r="S50" s="11">
        <v>92.177264690399198</v>
      </c>
      <c r="T50" s="11">
        <v>95.365100145339994</v>
      </c>
      <c r="U50" s="11">
        <v>99.859843730926499</v>
      </c>
      <c r="V50" s="11">
        <v>105.229647159576</v>
      </c>
      <c r="W50" s="11">
        <v>117.744061946869</v>
      </c>
      <c r="X50" s="11">
        <v>122.26656723022499</v>
      </c>
      <c r="Y50" s="11">
        <v>116.090992927551</v>
      </c>
      <c r="Z50" s="12">
        <v>16.481944084167498</v>
      </c>
      <c r="AA50" s="8"/>
    </row>
    <row r="51" spans="1:27" ht="19.95" hidden="1" customHeight="1">
      <c r="A51" s="11">
        <v>3</v>
      </c>
      <c r="B51" s="12">
        <v>0.86196780204773005</v>
      </c>
      <c r="C51" s="11">
        <v>0.76693391799926802</v>
      </c>
      <c r="D51" s="11">
        <v>1.93712711334229</v>
      </c>
      <c r="E51" s="11">
        <v>68.716327905654893</v>
      </c>
      <c r="F51" s="11">
        <v>54.2285799980164</v>
      </c>
      <c r="G51" s="11">
        <v>32.004090309143102</v>
      </c>
      <c r="H51" s="11">
        <v>50.857680082321203</v>
      </c>
      <c r="I51" s="8"/>
      <c r="J51" s="11">
        <v>0.69899177551269498</v>
      </c>
      <c r="K51" s="11">
        <v>1.68280696868896</v>
      </c>
      <c r="L51" s="11">
        <v>64.842763185501099</v>
      </c>
      <c r="M51" s="11">
        <v>74.070584774017306</v>
      </c>
      <c r="N51" s="11">
        <v>82.3605380058289</v>
      </c>
      <c r="O51" s="11">
        <v>89.723339080810604</v>
      </c>
      <c r="P51" s="11">
        <v>85.001059055328398</v>
      </c>
      <c r="Q51" s="11">
        <v>86.205374002456693</v>
      </c>
      <c r="R51" s="11">
        <v>87.894079208373995</v>
      </c>
      <c r="S51" s="11">
        <v>90.892339944839506</v>
      </c>
      <c r="T51" s="11">
        <v>95.897581815719604</v>
      </c>
      <c r="U51" s="11">
        <v>99.125657081604004</v>
      </c>
      <c r="V51" s="11">
        <v>102.93549990654</v>
      </c>
      <c r="W51" s="11">
        <v>117.598643064499</v>
      </c>
      <c r="X51" s="11">
        <v>123.531684160233</v>
      </c>
      <c r="Y51" s="11">
        <v>116.882561206818</v>
      </c>
      <c r="Z51" s="12">
        <v>17.230479001998901</v>
      </c>
      <c r="AA51" s="8"/>
    </row>
    <row r="52" spans="1:27" ht="19.95" hidden="1" customHeight="1">
      <c r="A52" s="11">
        <v>4</v>
      </c>
      <c r="B52" s="12">
        <v>0.67131233215331998</v>
      </c>
      <c r="C52" s="11">
        <v>0.77654218673706099</v>
      </c>
      <c r="D52" s="11">
        <v>1.8793301582336399</v>
      </c>
      <c r="E52" s="11">
        <v>67.271392107009902</v>
      </c>
      <c r="F52" s="11">
        <v>56.735827207565301</v>
      </c>
      <c r="G52" s="11">
        <v>31.826732873916601</v>
      </c>
      <c r="H52" s="11">
        <v>45.991064786910997</v>
      </c>
      <c r="I52" s="8"/>
      <c r="J52" s="11">
        <v>0.70103192329406705</v>
      </c>
      <c r="K52" s="11">
        <v>1.6264886856079099</v>
      </c>
      <c r="L52" s="11">
        <v>66.688851118087797</v>
      </c>
      <c r="M52" s="11">
        <v>74.794119119644193</v>
      </c>
      <c r="N52" s="11">
        <v>81.349598169326796</v>
      </c>
      <c r="O52" s="11">
        <v>84.698007106781006</v>
      </c>
      <c r="P52" s="11">
        <v>85.696163177490206</v>
      </c>
      <c r="Q52" s="11">
        <v>86.189993143081693</v>
      </c>
      <c r="R52" s="11">
        <v>87.774910926818904</v>
      </c>
      <c r="S52" s="11">
        <v>93.464858055114803</v>
      </c>
      <c r="T52" s="11">
        <v>95.772639989852905</v>
      </c>
      <c r="U52" s="11">
        <v>99.989297866821303</v>
      </c>
      <c r="V52" s="11">
        <v>104.610054969788</v>
      </c>
      <c r="W52" s="11">
        <v>117.928753137589</v>
      </c>
      <c r="X52" s="11">
        <v>121.403820753098</v>
      </c>
      <c r="Y52" s="11">
        <v>117.75350117683401</v>
      </c>
      <c r="Z52" s="12">
        <v>16.518828153610201</v>
      </c>
      <c r="AA52" s="8"/>
    </row>
    <row r="53" spans="1:27" ht="19.95" hidden="1" customHeight="1">
      <c r="A53" s="11">
        <v>5</v>
      </c>
      <c r="B53" s="12">
        <v>0.66971421241760298</v>
      </c>
      <c r="C53" s="11">
        <v>0.74394512176513705</v>
      </c>
      <c r="D53" s="11">
        <v>1.9605958461761499</v>
      </c>
      <c r="E53" s="11">
        <v>67.085577011108398</v>
      </c>
      <c r="F53" s="11">
        <v>53.7080109119415</v>
      </c>
      <c r="G53" s="11">
        <v>32.494379043579102</v>
      </c>
      <c r="H53" s="11">
        <v>45.913004875183098</v>
      </c>
      <c r="I53" s="8"/>
      <c r="J53" s="11">
        <v>0.70333480834960904</v>
      </c>
      <c r="K53" s="11">
        <v>1.6891798973083501</v>
      </c>
      <c r="L53" s="11">
        <v>65.073427915573106</v>
      </c>
      <c r="M53" s="11">
        <v>75.377912044525203</v>
      </c>
      <c r="N53" s="11">
        <v>82.557073831558199</v>
      </c>
      <c r="O53" s="11">
        <v>84.001474857330294</v>
      </c>
      <c r="P53" s="11">
        <v>85.212198972701998</v>
      </c>
      <c r="Q53" s="11">
        <v>85.875820159912095</v>
      </c>
      <c r="R53" s="11">
        <v>88.872195720672593</v>
      </c>
      <c r="S53" s="11">
        <v>94.175790786743207</v>
      </c>
      <c r="T53" s="11">
        <v>96.241987943649306</v>
      </c>
      <c r="U53" s="11">
        <v>100.64504694938699</v>
      </c>
      <c r="V53" s="11">
        <v>104.844142913818</v>
      </c>
      <c r="W53" s="11">
        <v>117.351909160614</v>
      </c>
      <c r="X53" s="11">
        <v>122.7740650177</v>
      </c>
      <c r="Y53" s="11">
        <v>115.118580102921</v>
      </c>
      <c r="Z53" s="12">
        <v>16.989329814910899</v>
      </c>
      <c r="AA53" s="8"/>
    </row>
    <row r="54" spans="1:27" ht="19.95" hidden="1" customHeight="1">
      <c r="A54" s="13" t="s">
        <v>62</v>
      </c>
      <c r="B54" s="14">
        <f t="shared" ref="B54:H54" si="20">AVERAGE(B49:B53)</f>
        <v>0.72874603271484406</v>
      </c>
      <c r="C54" s="15">
        <f t="shared" si="20"/>
        <v>0.76445603370666526</v>
      </c>
      <c r="D54" s="15">
        <f t="shared" si="20"/>
        <v>1.9724914550781261</v>
      </c>
      <c r="E54" s="15">
        <f t="shared" si="20"/>
        <v>67.782279205322254</v>
      </c>
      <c r="F54" s="15">
        <f t="shared" si="20"/>
        <v>54.826720905303958</v>
      </c>
      <c r="G54" s="15">
        <f t="shared" si="20"/>
        <v>32.233703517913817</v>
      </c>
      <c r="H54" s="15">
        <f t="shared" si="20"/>
        <v>46.674002933502194</v>
      </c>
      <c r="I54" s="16"/>
      <c r="J54" s="15">
        <f t="shared" ref="J54:Z54" si="21">AVERAGE(J49:J53)</f>
        <v>0.71157827377319316</v>
      </c>
      <c r="K54" s="15">
        <f t="shared" si="21"/>
        <v>1.6781731128692621</v>
      </c>
      <c r="L54" s="15">
        <f t="shared" si="21"/>
        <v>65.162260198593145</v>
      </c>
      <c r="M54" s="15">
        <f t="shared" si="21"/>
        <v>75.051526403427133</v>
      </c>
      <c r="N54" s="15">
        <f t="shared" si="21"/>
        <v>81.742785167694095</v>
      </c>
      <c r="O54" s="15">
        <f t="shared" si="21"/>
        <v>84.748832798004145</v>
      </c>
      <c r="P54" s="15">
        <f t="shared" si="21"/>
        <v>85.111455583572408</v>
      </c>
      <c r="Q54" s="15">
        <f t="shared" si="21"/>
        <v>85.948822927474993</v>
      </c>
      <c r="R54" s="15">
        <f t="shared" si="21"/>
        <v>87.921508741378773</v>
      </c>
      <c r="S54" s="15">
        <f t="shared" si="21"/>
        <v>92.471784114837689</v>
      </c>
      <c r="T54" s="15">
        <f t="shared" si="21"/>
        <v>95.445279169082639</v>
      </c>
      <c r="U54" s="15">
        <f t="shared" si="21"/>
        <v>99.919948339462366</v>
      </c>
      <c r="V54" s="15">
        <f t="shared" si="21"/>
        <v>104.21671619415278</v>
      </c>
      <c r="W54" s="15">
        <f t="shared" si="21"/>
        <v>115.98861985206619</v>
      </c>
      <c r="X54" s="15">
        <f t="shared" si="21"/>
        <v>122.3012406349184</v>
      </c>
      <c r="Y54" s="15">
        <f t="shared" si="21"/>
        <v>116.9790286064148</v>
      </c>
      <c r="Z54" s="14">
        <f t="shared" si="21"/>
        <v>16.7385226726532</v>
      </c>
      <c r="AA54" s="16"/>
    </row>
    <row r="55" spans="1:27" ht="19.95" hidden="1" customHeight="1">
      <c r="A55" s="8"/>
      <c r="B55" s="1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7"/>
      <c r="AA55" s="8"/>
    </row>
    <row r="56" spans="1:27" ht="19.95" hidden="1" customHeight="1">
      <c r="A56" s="8"/>
      <c r="B56" s="1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7"/>
      <c r="AA56" s="8"/>
    </row>
    <row r="57" spans="1:27" ht="19.95" hidden="1" customHeight="1">
      <c r="A57" s="16"/>
      <c r="B57" s="18" t="s">
        <v>67</v>
      </c>
      <c r="C57" s="16"/>
      <c r="D57" s="16"/>
      <c r="E57" s="16"/>
      <c r="F57" s="16"/>
      <c r="G57" s="16"/>
      <c r="H57" s="13" t="s">
        <v>67</v>
      </c>
      <c r="I57" s="16"/>
      <c r="J57" s="13" t="s">
        <v>67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8" t="s">
        <v>67</v>
      </c>
      <c r="AA57" s="16"/>
    </row>
    <row r="58" spans="1:27" ht="31.95" hidden="1" customHeight="1">
      <c r="A58" s="8"/>
      <c r="B58" s="9" t="s">
        <v>26</v>
      </c>
      <c r="C58" s="10" t="s">
        <v>27</v>
      </c>
      <c r="D58" s="10" t="s">
        <v>28</v>
      </c>
      <c r="E58" s="10" t="s">
        <v>29</v>
      </c>
      <c r="F58" s="10" t="s">
        <v>30</v>
      </c>
      <c r="G58" s="10" t="s">
        <v>31</v>
      </c>
      <c r="H58" s="10" t="s">
        <v>32</v>
      </c>
      <c r="I58" s="8"/>
      <c r="J58" s="10" t="s">
        <v>33</v>
      </c>
      <c r="K58" s="10" t="s">
        <v>34</v>
      </c>
      <c r="L58" s="10" t="s">
        <v>35</v>
      </c>
      <c r="M58" s="10" t="s">
        <v>36</v>
      </c>
      <c r="N58" s="10" t="s">
        <v>37</v>
      </c>
      <c r="O58" s="10" t="s">
        <v>38</v>
      </c>
      <c r="P58" s="10" t="s">
        <v>39</v>
      </c>
      <c r="Q58" s="10" t="s">
        <v>40</v>
      </c>
      <c r="R58" s="10" t="s">
        <v>41</v>
      </c>
      <c r="S58" s="10" t="s">
        <v>42</v>
      </c>
      <c r="T58" s="10" t="s">
        <v>43</v>
      </c>
      <c r="U58" s="10" t="s">
        <v>44</v>
      </c>
      <c r="V58" s="10" t="s">
        <v>45</v>
      </c>
      <c r="W58" s="10" t="s">
        <v>46</v>
      </c>
      <c r="X58" s="10" t="s">
        <v>47</v>
      </c>
      <c r="Y58" s="10" t="s">
        <v>48</v>
      </c>
      <c r="Z58" s="9" t="s">
        <v>49</v>
      </c>
      <c r="AA58" s="8"/>
    </row>
    <row r="59" spans="1:27" ht="19.95" hidden="1" customHeight="1">
      <c r="A59" s="11">
        <v>0</v>
      </c>
      <c r="B59" s="1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1">
        <v>407.97426986694302</v>
      </c>
      <c r="Z59" s="17"/>
      <c r="AA59" s="8"/>
    </row>
    <row r="60" spans="1:27" ht="19.95" hidden="1" customHeight="1">
      <c r="A60" s="11">
        <v>1</v>
      </c>
      <c r="B60" s="12">
        <v>4.0429518222808802</v>
      </c>
      <c r="C60" s="11">
        <v>3.82278203964233</v>
      </c>
      <c r="D60" s="11">
        <v>6.8592181205749503</v>
      </c>
      <c r="E60" s="11">
        <v>12.164539098739599</v>
      </c>
      <c r="F60" s="11">
        <v>890.73177814483597</v>
      </c>
      <c r="G60" s="11">
        <v>1051.6495518684401</v>
      </c>
      <c r="H60" s="11">
        <v>1114.6991982459999</v>
      </c>
      <c r="I60" s="8"/>
      <c r="J60" s="11">
        <v>3.7381680011749299</v>
      </c>
      <c r="K60" s="11">
        <v>6.1282837390899703</v>
      </c>
      <c r="L60" s="11">
        <v>329.78996300697298</v>
      </c>
      <c r="M60" s="11">
        <v>732.13386487960804</v>
      </c>
      <c r="N60" s="11">
        <v>857.13816976547196</v>
      </c>
      <c r="O60" s="11">
        <v>902.27552938461304</v>
      </c>
      <c r="P60" s="11">
        <v>35.7251169681549</v>
      </c>
      <c r="Q60" s="11">
        <v>333.18388772010798</v>
      </c>
      <c r="R60" s="11">
        <v>308.65743994712801</v>
      </c>
      <c r="S60" s="11">
        <v>323.35529279708902</v>
      </c>
      <c r="T60" s="11">
        <v>337.16541886329702</v>
      </c>
      <c r="U60" s="11">
        <v>328.67223596572899</v>
      </c>
      <c r="V60" s="11">
        <v>24.676243066787698</v>
      </c>
      <c r="W60" s="11">
        <v>363.15833401679998</v>
      </c>
      <c r="X60" s="11">
        <v>392.30898213386502</v>
      </c>
      <c r="Y60" s="11">
        <v>409.21132802963302</v>
      </c>
      <c r="Z60" s="12">
        <v>211.390238046646</v>
      </c>
      <c r="AA60" s="8"/>
    </row>
    <row r="61" spans="1:27" ht="19.95" hidden="1" customHeight="1">
      <c r="A61" s="11">
        <v>2</v>
      </c>
      <c r="B61" s="12">
        <v>3.2532007694244398</v>
      </c>
      <c r="C61" s="11">
        <v>3.2452578544616699</v>
      </c>
      <c r="D61" s="11">
        <v>5.8620469570159903</v>
      </c>
      <c r="E61" s="11">
        <v>8.2477848529815692</v>
      </c>
      <c r="F61" s="11">
        <v>845.18436479568504</v>
      </c>
      <c r="G61" s="11">
        <v>1009.00732374191</v>
      </c>
      <c r="H61" s="11">
        <v>1074.1183459758799</v>
      </c>
      <c r="I61" s="8"/>
      <c r="J61" s="11">
        <v>3.1387979984283398</v>
      </c>
      <c r="K61" s="11">
        <v>5.2910840511322004</v>
      </c>
      <c r="L61" s="11">
        <v>311.46463799476601</v>
      </c>
      <c r="M61" s="11">
        <v>704.29700589180004</v>
      </c>
      <c r="N61" s="11">
        <v>827.58464121818497</v>
      </c>
      <c r="O61" s="11">
        <v>879.12938308715798</v>
      </c>
      <c r="P61" s="11">
        <v>11.5813019275665</v>
      </c>
      <c r="Q61" s="11">
        <v>311.295712947845</v>
      </c>
      <c r="R61" s="11">
        <v>290.303563594818</v>
      </c>
      <c r="S61" s="11">
        <v>302.35747194290201</v>
      </c>
      <c r="T61" s="11">
        <v>316.69852685928299</v>
      </c>
      <c r="U61" s="11">
        <v>300.39321899414102</v>
      </c>
      <c r="V61" s="11">
        <v>14.313475131988501</v>
      </c>
      <c r="W61" s="11">
        <v>360.877897024155</v>
      </c>
      <c r="X61" s="11">
        <v>386.46996402740501</v>
      </c>
      <c r="Y61" s="11">
        <v>408.20198917388899</v>
      </c>
      <c r="Z61" s="12">
        <v>214.93340587616001</v>
      </c>
      <c r="AA61" s="8"/>
    </row>
    <row r="62" spans="1:27" ht="19.95" hidden="1" customHeight="1">
      <c r="A62" s="11">
        <v>3</v>
      </c>
      <c r="B62" s="12">
        <v>3.2837681770324698</v>
      </c>
      <c r="C62" s="11">
        <v>3.1272490024566699</v>
      </c>
      <c r="D62" s="11">
        <v>5.9885799884796098</v>
      </c>
      <c r="E62" s="11">
        <v>7.9871771335601798</v>
      </c>
      <c r="F62" s="11">
        <v>586.66065478324902</v>
      </c>
      <c r="G62" s="11">
        <v>868.12340307235695</v>
      </c>
      <c r="H62" s="11">
        <v>1037.83020114899</v>
      </c>
      <c r="I62" s="8"/>
      <c r="J62" s="11">
        <v>2.9742100238800102</v>
      </c>
      <c r="K62" s="11">
        <v>5.15264987945557</v>
      </c>
      <c r="L62" s="11">
        <v>305.38011407852201</v>
      </c>
      <c r="M62" s="11">
        <v>494.82108902931202</v>
      </c>
      <c r="N62" s="11">
        <v>803.94723033904995</v>
      </c>
      <c r="O62" s="11">
        <v>851.23179602622997</v>
      </c>
      <c r="P62" s="11">
        <v>11.5662441253662</v>
      </c>
      <c r="Q62" s="11">
        <v>307.05528402328503</v>
      </c>
      <c r="R62" s="11">
        <v>302.300158977509</v>
      </c>
      <c r="S62" s="11">
        <v>303.32969713211099</v>
      </c>
      <c r="T62" s="11">
        <v>315.14623022079502</v>
      </c>
      <c r="U62" s="11">
        <v>296.99145531654398</v>
      </c>
      <c r="V62" s="11">
        <v>14.4578456878662</v>
      </c>
      <c r="W62" s="11">
        <v>360.35830497741699</v>
      </c>
      <c r="X62" s="11">
        <v>386.53730082511902</v>
      </c>
      <c r="Y62" s="11">
        <v>430.506771087647</v>
      </c>
      <c r="Z62" s="12">
        <v>220.81324195861799</v>
      </c>
      <c r="AA62" s="8"/>
    </row>
    <row r="63" spans="1:27" ht="19.95" hidden="1" customHeight="1">
      <c r="A63" s="11">
        <v>4</v>
      </c>
      <c r="B63" s="1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1">
        <v>423.329668045044</v>
      </c>
      <c r="Z63" s="17"/>
      <c r="AA63" s="8"/>
    </row>
    <row r="64" spans="1:27" ht="19.95" hidden="1" customHeight="1">
      <c r="A64" s="11">
        <v>5</v>
      </c>
      <c r="B64" s="1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1">
        <v>423.95310688018799</v>
      </c>
      <c r="Z64" s="17"/>
      <c r="AA64" s="8"/>
    </row>
    <row r="65" spans="1:27" ht="19.95" hidden="1" customHeight="1">
      <c r="A65" s="13" t="s">
        <v>62</v>
      </c>
      <c r="B65" s="14">
        <f t="shared" ref="B65:H65" si="22">AVERAGE(B60:B64)</f>
        <v>3.5266402562459298</v>
      </c>
      <c r="C65" s="15">
        <f t="shared" si="22"/>
        <v>3.3984296321868901</v>
      </c>
      <c r="D65" s="15">
        <f t="shared" si="22"/>
        <v>6.2366150220235168</v>
      </c>
      <c r="E65" s="15">
        <f t="shared" si="22"/>
        <v>9.4665003617604508</v>
      </c>
      <c r="F65" s="15">
        <f t="shared" si="22"/>
        <v>774.19226590792334</v>
      </c>
      <c r="G65" s="15">
        <f t="shared" si="22"/>
        <v>976.26009289423564</v>
      </c>
      <c r="H65" s="15">
        <f t="shared" si="22"/>
        <v>1075.5492484569565</v>
      </c>
      <c r="I65" s="16"/>
      <c r="J65" s="15">
        <f t="shared" ref="J65:Z65" si="23">AVERAGE(J60:J64)</f>
        <v>3.2837253411610932</v>
      </c>
      <c r="K65" s="15">
        <f t="shared" si="23"/>
        <v>5.5240058898925808</v>
      </c>
      <c r="L65" s="15">
        <f t="shared" si="23"/>
        <v>315.54490502675367</v>
      </c>
      <c r="M65" s="15">
        <f t="shared" si="23"/>
        <v>643.75065326690674</v>
      </c>
      <c r="N65" s="15">
        <f t="shared" si="23"/>
        <v>829.55668044090226</v>
      </c>
      <c r="O65" s="15">
        <f t="shared" si="23"/>
        <v>877.54556949933374</v>
      </c>
      <c r="P65" s="15">
        <f t="shared" si="23"/>
        <v>19.624221007029202</v>
      </c>
      <c r="Q65" s="15">
        <f t="shared" si="23"/>
        <v>317.17829489707935</v>
      </c>
      <c r="R65" s="15">
        <f t="shared" si="23"/>
        <v>300.42038750648499</v>
      </c>
      <c r="S65" s="15">
        <f t="shared" si="23"/>
        <v>309.68082062403397</v>
      </c>
      <c r="T65" s="15">
        <f t="shared" si="23"/>
        <v>323.00339198112499</v>
      </c>
      <c r="U65" s="15">
        <f t="shared" si="23"/>
        <v>308.68563675880472</v>
      </c>
      <c r="V65" s="15">
        <f t="shared" si="23"/>
        <v>17.8158546288808</v>
      </c>
      <c r="W65" s="15">
        <f t="shared" si="23"/>
        <v>361.46484533945733</v>
      </c>
      <c r="X65" s="15">
        <f t="shared" si="23"/>
        <v>388.43874899546307</v>
      </c>
      <c r="Y65" s="15">
        <f t="shared" si="23"/>
        <v>419.0405726432802</v>
      </c>
      <c r="Z65" s="14">
        <f t="shared" si="23"/>
        <v>215.71229529380798</v>
      </c>
      <c r="AA65" s="16"/>
    </row>
    <row r="66" spans="1:27" ht="19.95" customHeight="1">
      <c r="A66" s="8"/>
      <c r="B66" s="1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7"/>
      <c r="AA66" s="8"/>
    </row>
    <row r="67" spans="1:27" ht="19.95" customHeight="1">
      <c r="A67" s="8"/>
      <c r="B67" s="1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7"/>
      <c r="AA67" s="8"/>
    </row>
    <row r="68" spans="1:27" ht="19.95" customHeight="1">
      <c r="A68" s="13" t="s">
        <v>68</v>
      </c>
      <c r="B68" s="18" t="s">
        <v>66</v>
      </c>
      <c r="C68" s="16"/>
      <c r="D68" s="16"/>
      <c r="E68" s="16"/>
      <c r="F68" s="16"/>
      <c r="G68" s="16"/>
      <c r="H68" s="13" t="s">
        <v>66</v>
      </c>
      <c r="I68" s="16"/>
      <c r="J68" s="13" t="s">
        <v>66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8" t="s">
        <v>66</v>
      </c>
      <c r="AA68" s="16"/>
    </row>
    <row r="69" spans="1:27" ht="31.95" customHeight="1">
      <c r="A69" s="8"/>
      <c r="B69" s="9" t="s">
        <v>26</v>
      </c>
      <c r="C69" s="10" t="s">
        <v>27</v>
      </c>
      <c r="D69" s="10" t="s">
        <v>28</v>
      </c>
      <c r="E69" s="10" t="s">
        <v>29</v>
      </c>
      <c r="F69" s="10" t="s">
        <v>30</v>
      </c>
      <c r="G69" s="10" t="s">
        <v>31</v>
      </c>
      <c r="H69" s="10" t="s">
        <v>32</v>
      </c>
      <c r="I69" s="8"/>
      <c r="J69" s="10" t="s">
        <v>33</v>
      </c>
      <c r="K69" s="10" t="s">
        <v>34</v>
      </c>
      <c r="L69" s="10" t="s">
        <v>35</v>
      </c>
      <c r="M69" s="10" t="s">
        <v>36</v>
      </c>
      <c r="N69" s="10" t="s">
        <v>37</v>
      </c>
      <c r="O69" s="10" t="s">
        <v>38</v>
      </c>
      <c r="P69" s="10" t="s">
        <v>39</v>
      </c>
      <c r="Q69" s="10" t="s">
        <v>40</v>
      </c>
      <c r="R69" s="10" t="s">
        <v>41</v>
      </c>
      <c r="S69" s="10" t="s">
        <v>42</v>
      </c>
      <c r="T69" s="10" t="s">
        <v>43</v>
      </c>
      <c r="U69" s="10" t="s">
        <v>44</v>
      </c>
      <c r="V69" s="10" t="s">
        <v>45</v>
      </c>
      <c r="W69" s="10" t="s">
        <v>46</v>
      </c>
      <c r="X69" s="10" t="s">
        <v>47</v>
      </c>
      <c r="Y69" s="10" t="s">
        <v>48</v>
      </c>
      <c r="Z69" s="9" t="s">
        <v>49</v>
      </c>
      <c r="AA69" s="8"/>
    </row>
    <row r="70" spans="1:27" ht="19.95" customHeight="1">
      <c r="A70" s="8"/>
      <c r="B70" s="9" t="s">
        <v>69</v>
      </c>
      <c r="C70" s="10" t="s">
        <v>69</v>
      </c>
      <c r="D70" s="10" t="s">
        <v>70</v>
      </c>
      <c r="E70" s="10" t="s">
        <v>71</v>
      </c>
      <c r="F70" s="10" t="s">
        <v>72</v>
      </c>
      <c r="G70" s="10" t="s">
        <v>73</v>
      </c>
      <c r="H70" s="10" t="s">
        <v>74</v>
      </c>
      <c r="I70" s="8"/>
      <c r="J70" s="10" t="s">
        <v>69</v>
      </c>
      <c r="K70" s="10" t="s">
        <v>70</v>
      </c>
      <c r="L70" s="10" t="s">
        <v>71</v>
      </c>
      <c r="M70" s="10" t="s">
        <v>72</v>
      </c>
      <c r="N70" s="10" t="s">
        <v>73</v>
      </c>
      <c r="O70" s="10" t="s">
        <v>74</v>
      </c>
      <c r="P70" s="10" t="s">
        <v>74</v>
      </c>
      <c r="Q70" s="10" t="s">
        <v>74</v>
      </c>
      <c r="R70" s="10" t="s">
        <v>74</v>
      </c>
      <c r="S70" s="10" t="s">
        <v>74</v>
      </c>
      <c r="T70" s="10" t="s">
        <v>74</v>
      </c>
      <c r="U70" s="10" t="s">
        <v>74</v>
      </c>
      <c r="V70" s="10" t="s">
        <v>74</v>
      </c>
      <c r="W70" s="10" t="s">
        <v>74</v>
      </c>
      <c r="X70" s="10" t="s">
        <v>74</v>
      </c>
      <c r="Y70" s="10" t="s">
        <v>74</v>
      </c>
      <c r="Z70" s="9" t="s">
        <v>74</v>
      </c>
      <c r="AA70" s="8"/>
    </row>
    <row r="71" spans="1:27" ht="19.95" customHeight="1">
      <c r="A71" s="11">
        <v>0</v>
      </c>
      <c r="B71" s="12">
        <v>1.38176274299622</v>
      </c>
      <c r="C71" s="11">
        <v>2.0288279056549099</v>
      </c>
      <c r="D71" s="11">
        <v>2.7949659824371298</v>
      </c>
      <c r="E71" s="11">
        <v>5.82169914245606</v>
      </c>
      <c r="F71" s="11">
        <v>9.7093420028686506</v>
      </c>
      <c r="G71" s="11">
        <v>10.5720100402832</v>
      </c>
      <c r="H71" s="11">
        <v>13.3252549171448</v>
      </c>
      <c r="I71" s="8"/>
      <c r="J71" s="11">
        <v>1.4283480644226101</v>
      </c>
      <c r="K71" s="11">
        <v>3.2195460796356201</v>
      </c>
      <c r="L71" s="11">
        <v>5.9786891937255904</v>
      </c>
      <c r="M71" s="11">
        <v>8.6215689182281494</v>
      </c>
      <c r="N71" s="11">
        <v>10.3850100040436</v>
      </c>
      <c r="O71" s="11">
        <v>12.3336541652679</v>
      </c>
      <c r="P71" s="11">
        <v>12.3170168399811</v>
      </c>
      <c r="Q71" s="11">
        <v>10.847218751907301</v>
      </c>
      <c r="R71" s="11">
        <v>11.6779680252075</v>
      </c>
      <c r="S71" s="11">
        <v>11.6583602428436</v>
      </c>
      <c r="T71" s="11">
        <v>8.5724248886108398</v>
      </c>
      <c r="U71" s="11">
        <v>12.253505945205699</v>
      </c>
      <c r="V71" s="11">
        <v>12.175992012023899</v>
      </c>
      <c r="W71" s="11">
        <v>11.613893032073999</v>
      </c>
      <c r="X71" s="11">
        <v>11.9621150493622</v>
      </c>
      <c r="Y71" s="11">
        <v>12.294050931930499</v>
      </c>
      <c r="Z71" s="12">
        <v>4.1608319282531703</v>
      </c>
      <c r="AA71" s="8"/>
    </row>
    <row r="72" spans="1:27" ht="19.95" customHeight="1">
      <c r="A72" s="11">
        <v>1</v>
      </c>
      <c r="B72" s="12">
        <v>0.84811496734619096</v>
      </c>
      <c r="C72" s="11">
        <v>0.84147286415100098</v>
      </c>
      <c r="D72" s="11">
        <v>1.9821588993072501</v>
      </c>
      <c r="E72" s="11">
        <v>2.9438788890838601</v>
      </c>
      <c r="F72" s="11">
        <v>3.82307028770447</v>
      </c>
      <c r="G72" s="11">
        <v>4.7597289085388201</v>
      </c>
      <c r="H72" s="11">
        <v>5.39837622642517</v>
      </c>
      <c r="I72" s="8"/>
      <c r="J72" s="11">
        <v>0.74740195274353005</v>
      </c>
      <c r="K72" s="11">
        <v>1.75962018966675</v>
      </c>
      <c r="L72" s="11">
        <v>2.6778619289398198</v>
      </c>
      <c r="M72" s="11">
        <v>3.32828712463379</v>
      </c>
      <c r="N72" s="11">
        <v>4.0821609497070304</v>
      </c>
      <c r="O72" s="11">
        <v>4.7450213432312003</v>
      </c>
      <c r="P72" s="11">
        <v>4.7273931503295898</v>
      </c>
      <c r="Q72" s="11">
        <v>4.7429718971252397</v>
      </c>
      <c r="R72" s="11">
        <v>4.8575570583343497</v>
      </c>
      <c r="S72" s="11">
        <v>4.9799468517303502</v>
      </c>
      <c r="T72" s="11">
        <v>5.1201641559600803</v>
      </c>
      <c r="U72" s="11">
        <v>5.1395447254180899</v>
      </c>
      <c r="V72" s="11">
        <v>5.3049027919769296</v>
      </c>
      <c r="W72" s="11">
        <v>5.4842019081115696</v>
      </c>
      <c r="X72" s="11">
        <v>5.5966918468475297</v>
      </c>
      <c r="Y72" s="11">
        <v>5.7123341560363796</v>
      </c>
      <c r="Z72" s="12">
        <v>2.7674040794372599</v>
      </c>
      <c r="AA72" s="8"/>
    </row>
    <row r="73" spans="1:27" ht="19.95" customHeight="1">
      <c r="A73" s="11">
        <v>2</v>
      </c>
      <c r="B73" s="12">
        <v>0.67576885223388705</v>
      </c>
      <c r="C73" s="11">
        <v>0.74235796928405795</v>
      </c>
      <c r="D73" s="11">
        <v>2.00969386100769</v>
      </c>
      <c r="E73" s="11">
        <v>2.8352198600768999</v>
      </c>
      <c r="F73" s="11">
        <v>3.7824680805206299</v>
      </c>
      <c r="G73" s="11">
        <v>4.7662429809570304</v>
      </c>
      <c r="H73" s="11">
        <v>5.3817689418792698</v>
      </c>
      <c r="I73" s="8"/>
      <c r="J73" s="11">
        <v>0.72794508934020996</v>
      </c>
      <c r="K73" s="11">
        <v>1.75082087516785</v>
      </c>
      <c r="L73" s="11">
        <v>2.5421819686889702</v>
      </c>
      <c r="M73" s="11">
        <v>3.2807259559631299</v>
      </c>
      <c r="N73" s="11">
        <v>4.0234191417694101</v>
      </c>
      <c r="O73" s="11">
        <v>4.73809909820557</v>
      </c>
      <c r="P73" s="11">
        <v>4.5993747711181596</v>
      </c>
      <c r="Q73" s="11">
        <v>4.69201683998108</v>
      </c>
      <c r="R73" s="11">
        <v>4.7765860557556197</v>
      </c>
      <c r="S73" s="11">
        <v>4.8824489116668701</v>
      </c>
      <c r="T73" s="11">
        <v>4.96439409255981</v>
      </c>
      <c r="U73" s="11">
        <v>5.0727798938751203</v>
      </c>
      <c r="V73" s="11">
        <v>5.2595350742340097</v>
      </c>
      <c r="W73" s="11">
        <v>5.4289228916168204</v>
      </c>
      <c r="X73" s="11">
        <v>5.5701038837432897</v>
      </c>
      <c r="Y73" s="11">
        <v>5.8329961299896196</v>
      </c>
      <c r="Z73" s="12">
        <v>2.8176829814910902</v>
      </c>
      <c r="AA73" s="8"/>
    </row>
    <row r="74" spans="1:27" ht="19.95" customHeight="1">
      <c r="A74" s="11">
        <v>3</v>
      </c>
      <c r="B74" s="12">
        <v>0.69715976715087902</v>
      </c>
      <c r="C74" s="11">
        <v>0.73850512504577603</v>
      </c>
      <c r="D74" s="11">
        <v>1.9455161094665501</v>
      </c>
      <c r="E74" s="11">
        <v>2.83603715896606</v>
      </c>
      <c r="F74" s="11">
        <v>3.75178790092468</v>
      </c>
      <c r="G74" s="11">
        <v>4.7053880691528303</v>
      </c>
      <c r="H74" s="11">
        <v>5.42183613777161</v>
      </c>
      <c r="I74" s="8"/>
      <c r="J74" s="11">
        <v>0.71040391921997104</v>
      </c>
      <c r="K74" s="11">
        <v>1.7501242160797099</v>
      </c>
      <c r="L74" s="11">
        <v>2.5367259979247998</v>
      </c>
      <c r="M74" s="11">
        <v>3.2330842018127401</v>
      </c>
      <c r="N74" s="11">
        <v>4.0475618839263898</v>
      </c>
      <c r="O74" s="11">
        <v>4.63582420349121</v>
      </c>
      <c r="P74" s="11">
        <v>4.70424509048462</v>
      </c>
      <c r="Q74" s="11">
        <v>4.65112400054932</v>
      </c>
      <c r="R74" s="11">
        <v>4.8382620811462402</v>
      </c>
      <c r="S74" s="11">
        <v>4.8789181709289604</v>
      </c>
      <c r="T74" s="11">
        <v>4.9617068767547599</v>
      </c>
      <c r="U74" s="11">
        <v>5.1460008621215803</v>
      </c>
      <c r="V74" s="11">
        <v>5.1932659149169904</v>
      </c>
      <c r="W74" s="11">
        <v>5.3587322235107404</v>
      </c>
      <c r="X74" s="11">
        <v>5.5535809993743896</v>
      </c>
      <c r="Y74" s="11">
        <v>5.6259620189666801</v>
      </c>
      <c r="Z74" s="12">
        <v>2.7608020305633501</v>
      </c>
      <c r="AA74" s="8"/>
    </row>
    <row r="75" spans="1:27" ht="19.95" customHeight="1">
      <c r="A75" s="11">
        <v>4</v>
      </c>
      <c r="B75" s="12">
        <v>0.67136001586914096</v>
      </c>
      <c r="C75" s="11">
        <v>0.75494766235351596</v>
      </c>
      <c r="D75" s="11">
        <v>1.96128106117249</v>
      </c>
      <c r="E75" s="11">
        <v>2.8580138683319101</v>
      </c>
      <c r="F75" s="11">
        <v>3.7511219978332502</v>
      </c>
      <c r="G75" s="11">
        <v>4.7276132106780997</v>
      </c>
      <c r="H75" s="11">
        <v>5.42744708061218</v>
      </c>
      <c r="I75" s="8"/>
      <c r="J75" s="11">
        <v>0.71842980384826705</v>
      </c>
      <c r="K75" s="11">
        <v>1.71725821495056</v>
      </c>
      <c r="L75" s="11">
        <v>2.57679986953735</v>
      </c>
      <c r="M75" s="11">
        <v>3.2628362178802499</v>
      </c>
      <c r="N75" s="11">
        <v>3.9687080383300799</v>
      </c>
      <c r="O75" s="11">
        <v>4.6376059055328396</v>
      </c>
      <c r="P75" s="11">
        <v>4.5439300537109402</v>
      </c>
      <c r="Q75" s="11">
        <v>4.7014298439025897</v>
      </c>
      <c r="R75" s="11">
        <v>4.7521450519561803</v>
      </c>
      <c r="S75" s="11">
        <v>4.90097904205322</v>
      </c>
      <c r="T75" s="11">
        <v>5.0398790836334202</v>
      </c>
      <c r="U75" s="11">
        <v>6.0611741542816198</v>
      </c>
      <c r="V75" s="11">
        <v>5.1567399501800502</v>
      </c>
      <c r="W75" s="11">
        <v>5.4054632186889702</v>
      </c>
      <c r="X75" s="11">
        <v>5.5230431556701696</v>
      </c>
      <c r="Y75" s="11">
        <v>5.6397502422332799</v>
      </c>
      <c r="Z75" s="12">
        <v>2.7569608688354501</v>
      </c>
      <c r="AA75" s="8"/>
    </row>
    <row r="76" spans="1:27" ht="19.95" customHeight="1">
      <c r="A76" s="11">
        <v>5</v>
      </c>
      <c r="B76" s="12">
        <v>0.67367291450500499</v>
      </c>
      <c r="C76" s="11">
        <v>0.72939968109130904</v>
      </c>
      <c r="D76" s="11">
        <v>1.9282312393188501</v>
      </c>
      <c r="E76" s="11">
        <v>2.89664626121521</v>
      </c>
      <c r="F76" s="11">
        <v>3.7754759788513201</v>
      </c>
      <c r="G76" s="11">
        <v>4.7662990093231201</v>
      </c>
      <c r="H76" s="11">
        <v>5.3890888690948504</v>
      </c>
      <c r="I76" s="8"/>
      <c r="J76" s="11">
        <v>0.711778163909912</v>
      </c>
      <c r="K76" s="11">
        <v>1.7049207687377901</v>
      </c>
      <c r="L76" s="11">
        <v>2.55167531967163</v>
      </c>
      <c r="M76" s="11">
        <v>3.2237739562988299</v>
      </c>
      <c r="N76" s="11">
        <v>3.9915759563446001</v>
      </c>
      <c r="O76" s="11">
        <v>4.68859887123108</v>
      </c>
      <c r="P76" s="11">
        <v>4.6244568824768102</v>
      </c>
      <c r="Q76" s="11">
        <v>4.6361286640167201</v>
      </c>
      <c r="R76" s="11">
        <v>4.7662770748138401</v>
      </c>
      <c r="S76" s="11">
        <v>4.8671717643737802</v>
      </c>
      <c r="T76" s="11">
        <v>4.96244192123413</v>
      </c>
      <c r="U76" s="11">
        <v>5.0687942504882804</v>
      </c>
      <c r="V76" s="11">
        <v>5.2188611030578604</v>
      </c>
      <c r="W76" s="11">
        <v>5.4102892875671396</v>
      </c>
      <c r="X76" s="11">
        <v>5.5389158725738499</v>
      </c>
      <c r="Y76" s="11">
        <v>5.6351759433746302</v>
      </c>
      <c r="Z76" s="12">
        <v>2.7551932334899898</v>
      </c>
      <c r="AA76" s="8"/>
    </row>
    <row r="77" spans="1:27" ht="19.95" customHeight="1">
      <c r="A77" s="13" t="s">
        <v>62</v>
      </c>
      <c r="B77" s="14">
        <f t="shared" ref="B77:H77" si="24">AVERAGE(B72:B76)</f>
        <v>0.71321530342102057</v>
      </c>
      <c r="C77" s="15">
        <f t="shared" si="24"/>
        <v>0.76133666038513204</v>
      </c>
      <c r="D77" s="15">
        <f t="shared" si="24"/>
        <v>1.9653762340545662</v>
      </c>
      <c r="E77" s="15">
        <f t="shared" si="24"/>
        <v>2.8739592075347877</v>
      </c>
      <c r="F77" s="15">
        <f t="shared" si="24"/>
        <v>3.7767848491668703</v>
      </c>
      <c r="G77" s="15">
        <f t="shared" si="24"/>
        <v>4.7450544357299798</v>
      </c>
      <c r="H77" s="15">
        <f t="shared" si="24"/>
        <v>5.4037034511566162</v>
      </c>
      <c r="I77" s="16"/>
      <c r="J77" s="15">
        <f t="shared" ref="J77:Z77" si="25">AVERAGE(J72:J76)</f>
        <v>0.72319178581237797</v>
      </c>
      <c r="K77" s="15">
        <f t="shared" si="25"/>
        <v>1.736548852920532</v>
      </c>
      <c r="L77" s="15">
        <f t="shared" si="25"/>
        <v>2.5770490169525138</v>
      </c>
      <c r="M77" s="15">
        <f t="shared" si="25"/>
        <v>3.2657414913177476</v>
      </c>
      <c r="N77" s="15">
        <f t="shared" si="25"/>
        <v>4.0226851940155024</v>
      </c>
      <c r="O77" s="15">
        <f t="shared" si="25"/>
        <v>4.68902988433838</v>
      </c>
      <c r="P77" s="15">
        <f t="shared" si="25"/>
        <v>4.6398799896240241</v>
      </c>
      <c r="Q77" s="15">
        <f t="shared" si="25"/>
        <v>4.6847342491149897</v>
      </c>
      <c r="R77" s="15">
        <f t="shared" si="25"/>
        <v>4.7981654644012455</v>
      </c>
      <c r="S77" s="15">
        <f t="shared" si="25"/>
        <v>4.9018929481506364</v>
      </c>
      <c r="T77" s="15">
        <f t="shared" si="25"/>
        <v>5.0097172260284406</v>
      </c>
      <c r="U77" s="15">
        <f t="shared" si="25"/>
        <v>5.2976587772369381</v>
      </c>
      <c r="V77" s="15">
        <f t="shared" si="25"/>
        <v>5.2266609668731681</v>
      </c>
      <c r="W77" s="15">
        <f t="shared" si="25"/>
        <v>5.417521905899048</v>
      </c>
      <c r="X77" s="15">
        <f t="shared" si="25"/>
        <v>5.5564671516418453</v>
      </c>
      <c r="Y77" s="15">
        <f t="shared" si="25"/>
        <v>5.6892436981201175</v>
      </c>
      <c r="Z77" s="14">
        <f t="shared" si="25"/>
        <v>2.7716086387634276</v>
      </c>
      <c r="AA77" s="16"/>
    </row>
    <row r="78" spans="1:27" s="34" customFormat="1" ht="19.95" customHeight="1">
      <c r="A78" s="33" t="s">
        <v>103</v>
      </c>
      <c r="B78" s="35">
        <f t="shared" ref="B78:H78" si="26">_xlfn.CONFIDENCE.T(0.05, B79, 5)</f>
        <v>9.4508090867148578E-2</v>
      </c>
      <c r="C78" s="35">
        <f t="shared" si="26"/>
        <v>5.6778373061877913E-2</v>
      </c>
      <c r="D78" s="35">
        <f t="shared" si="26"/>
        <v>3.9444362262532499E-2</v>
      </c>
      <c r="E78" s="35">
        <f t="shared" si="26"/>
        <v>5.7561997967001642E-2</v>
      </c>
      <c r="F78" s="35">
        <f t="shared" si="26"/>
        <v>3.6517290905621093E-2</v>
      </c>
      <c r="G78" s="35">
        <f t="shared" si="26"/>
        <v>3.3966055564759248E-2</v>
      </c>
      <c r="H78" s="35">
        <f t="shared" si="26"/>
        <v>2.4954375164721911E-2</v>
      </c>
      <c r="I78" s="35"/>
      <c r="J78" s="35">
        <f t="shared" ref="J78:Z78" si="27">_xlfn.CONFIDENCE.T(0.05, J79, 5)</f>
        <v>1.8883938329886496E-2</v>
      </c>
      <c r="K78" s="35">
        <f t="shared" si="27"/>
        <v>2.9726977171564885E-2</v>
      </c>
      <c r="L78" s="35">
        <f t="shared" si="27"/>
        <v>7.2530574463157763E-2</v>
      </c>
      <c r="M78" s="35">
        <f t="shared" si="27"/>
        <v>5.1841158161821978E-2</v>
      </c>
      <c r="N78" s="35">
        <f t="shared" si="27"/>
        <v>5.566087594917099E-2</v>
      </c>
      <c r="O78" s="35">
        <f t="shared" si="27"/>
        <v>6.5167511135767756E-2</v>
      </c>
      <c r="P78" s="35">
        <f t="shared" si="27"/>
        <v>9.3920934543501464E-2</v>
      </c>
      <c r="Q78" s="35">
        <f t="shared" si="27"/>
        <v>5.2736213653793572E-2</v>
      </c>
      <c r="R78" s="35">
        <f t="shared" si="27"/>
        <v>5.802544009718056E-2</v>
      </c>
      <c r="S78" s="35">
        <f t="shared" si="27"/>
        <v>5.6234901596298723E-2</v>
      </c>
      <c r="T78" s="35">
        <f t="shared" si="27"/>
        <v>8.714322347201052E-2</v>
      </c>
      <c r="U78" s="35">
        <f t="shared" si="27"/>
        <v>0.53185608501270776</v>
      </c>
      <c r="V78" s="35">
        <f t="shared" si="27"/>
        <v>7.1510323210989518E-2</v>
      </c>
      <c r="W78" s="35">
        <f t="shared" si="27"/>
        <v>5.6322002929347137E-2</v>
      </c>
      <c r="X78" s="35">
        <f t="shared" si="27"/>
        <v>3.532488982638185E-2</v>
      </c>
      <c r="Y78" s="35">
        <f t="shared" si="27"/>
        <v>0.10855762977991093</v>
      </c>
      <c r="Z78" s="35">
        <f t="shared" si="27"/>
        <v>3.2505336167474433E-2</v>
      </c>
      <c r="AA78" s="33"/>
    </row>
    <row r="79" spans="1:27" s="34" customFormat="1" ht="19.95" customHeight="1">
      <c r="A79" s="31" t="s">
        <v>97</v>
      </c>
      <c r="B79" s="32">
        <f>_xlfn.STDEV.S(B72:B76)</f>
        <v>7.6114062261503426E-2</v>
      </c>
      <c r="C79" s="32">
        <f t="shared" ref="C79:H79" si="28">_xlfn.STDEV.S(C72:C76)</f>
        <v>4.5727647047845113E-2</v>
      </c>
      <c r="D79" s="32">
        <f t="shared" si="28"/>
        <v>3.1767339891946723E-2</v>
      </c>
      <c r="E79" s="32">
        <f t="shared" si="28"/>
        <v>4.6358755710299168E-2</v>
      </c>
      <c r="F79" s="32">
        <f t="shared" si="28"/>
        <v>2.9409961920816196E-2</v>
      </c>
      <c r="G79" s="32">
        <f t="shared" si="28"/>
        <v>2.7355271324525612E-2</v>
      </c>
      <c r="H79" s="32">
        <f t="shared" si="28"/>
        <v>2.0097526545685314E-2</v>
      </c>
      <c r="I79" s="32"/>
      <c r="J79" s="32">
        <f t="shared" ref="J79:Z79" si="29">_xlfn.STDEV.S(J72:J76)</f>
        <v>1.5208573621531014E-2</v>
      </c>
      <c r="K79" s="32">
        <f t="shared" si="29"/>
        <v>2.3941241120439185E-2</v>
      </c>
      <c r="L79" s="32">
        <f t="shared" si="29"/>
        <v>5.8414011011097292E-2</v>
      </c>
      <c r="M79" s="32">
        <f t="shared" si="29"/>
        <v>4.1751358045990915E-2</v>
      </c>
      <c r="N79" s="32">
        <f t="shared" si="29"/>
        <v>4.4827647438994783E-2</v>
      </c>
      <c r="O79" s="32">
        <f t="shared" si="29"/>
        <v>5.2484014379124651E-2</v>
      </c>
      <c r="P79" s="32">
        <f t="shared" si="29"/>
        <v>7.5641183669149514E-2</v>
      </c>
      <c r="Q79" s="32">
        <f t="shared" si="29"/>
        <v>4.2472209655819673E-2</v>
      </c>
      <c r="R79" s="32">
        <f t="shared" si="29"/>
        <v>4.6731998496471069E-2</v>
      </c>
      <c r="S79" s="32">
        <f t="shared" si="29"/>
        <v>4.5289950967129719E-2</v>
      </c>
      <c r="T79" s="32">
        <f t="shared" si="29"/>
        <v>7.0182612685940046E-2</v>
      </c>
      <c r="U79" s="32">
        <f t="shared" si="29"/>
        <v>0.42834139169864788</v>
      </c>
      <c r="V79" s="32">
        <f t="shared" si="29"/>
        <v>5.7592330384418751E-2</v>
      </c>
      <c r="W79" s="32">
        <f t="shared" si="29"/>
        <v>4.5360099842489253E-2</v>
      </c>
      <c r="X79" s="32">
        <f t="shared" si="29"/>
        <v>2.8449636840146862E-2</v>
      </c>
      <c r="Y79" s="32">
        <f t="shared" si="29"/>
        <v>8.7429151474919392E-2</v>
      </c>
      <c r="Z79" s="32">
        <f t="shared" si="29"/>
        <v>2.6178850489744266E-2</v>
      </c>
      <c r="AA79" s="33"/>
    </row>
    <row r="80" spans="1:27" s="34" customFormat="1" ht="19.95" customHeight="1">
      <c r="A80" s="31" t="s">
        <v>98</v>
      </c>
      <c r="B80" s="32">
        <f>MIN(B72:B76)</f>
        <v>0.67136001586914096</v>
      </c>
      <c r="C80" s="32">
        <f t="shared" ref="C80:E80" si="30">MIN(C72:C76)</f>
        <v>0.72939968109130904</v>
      </c>
      <c r="D80" s="32">
        <f t="shared" si="30"/>
        <v>1.9282312393188501</v>
      </c>
      <c r="E80" s="32">
        <f t="shared" si="30"/>
        <v>2.8352198600768999</v>
      </c>
      <c r="F80" s="32">
        <f>MIN(F72:F76)</f>
        <v>3.7511219978332502</v>
      </c>
      <c r="G80" s="32">
        <f t="shared" ref="G80:H80" si="31">MIN(G72:G76)</f>
        <v>4.7053880691528303</v>
      </c>
      <c r="H80" s="32">
        <f t="shared" si="31"/>
        <v>5.3817689418792698</v>
      </c>
      <c r="I80" s="32"/>
      <c r="J80" s="32">
        <f>MIN(J72:J76)</f>
        <v>0.71040391921997104</v>
      </c>
      <c r="K80" s="32">
        <f t="shared" ref="K80:L80" si="32">MIN(K72:K76)</f>
        <v>1.7049207687377901</v>
      </c>
      <c r="L80" s="32">
        <f t="shared" si="32"/>
        <v>2.5367259979247998</v>
      </c>
      <c r="M80" s="32">
        <f>MIN(M72:M76)</f>
        <v>3.2237739562988299</v>
      </c>
      <c r="N80" s="32">
        <f t="shared" ref="N80:Z80" si="33">MIN(N72:N76)</f>
        <v>3.9687080383300799</v>
      </c>
      <c r="O80" s="32">
        <f t="shared" si="33"/>
        <v>4.63582420349121</v>
      </c>
      <c r="P80" s="32">
        <f t="shared" si="33"/>
        <v>4.5439300537109402</v>
      </c>
      <c r="Q80" s="32">
        <f t="shared" si="33"/>
        <v>4.6361286640167201</v>
      </c>
      <c r="R80" s="32">
        <f t="shared" si="33"/>
        <v>4.7521450519561803</v>
      </c>
      <c r="S80" s="32">
        <f t="shared" si="33"/>
        <v>4.8671717643737802</v>
      </c>
      <c r="T80" s="32">
        <f t="shared" si="33"/>
        <v>4.9617068767547599</v>
      </c>
      <c r="U80" s="32">
        <f t="shared" si="33"/>
        <v>5.0687942504882804</v>
      </c>
      <c r="V80" s="32">
        <f t="shared" si="33"/>
        <v>5.1567399501800502</v>
      </c>
      <c r="W80" s="32">
        <f t="shared" si="33"/>
        <v>5.3587322235107404</v>
      </c>
      <c r="X80" s="32">
        <f t="shared" si="33"/>
        <v>5.5230431556701696</v>
      </c>
      <c r="Y80" s="32">
        <f t="shared" si="33"/>
        <v>5.6259620189666801</v>
      </c>
      <c r="Z80" s="32">
        <f t="shared" si="33"/>
        <v>2.7551932334899898</v>
      </c>
      <c r="AA80" s="33"/>
    </row>
    <row r="81" spans="1:27" s="34" customFormat="1" ht="19.95" customHeight="1">
      <c r="A81" s="33" t="s">
        <v>99</v>
      </c>
      <c r="B81" s="35">
        <f>MAX(B72:B76)</f>
        <v>0.84811496734619096</v>
      </c>
      <c r="C81" s="35">
        <f>MAX(C72:C76)</f>
        <v>0.84147286415100098</v>
      </c>
      <c r="D81" s="35">
        <f t="shared" ref="D81:H81" si="34">MAX(D72:D76)</f>
        <v>2.00969386100769</v>
      </c>
      <c r="E81" s="35">
        <f t="shared" si="34"/>
        <v>2.9438788890838601</v>
      </c>
      <c r="F81" s="35">
        <f t="shared" si="34"/>
        <v>3.82307028770447</v>
      </c>
      <c r="G81" s="35">
        <f t="shared" si="34"/>
        <v>4.7662990093231201</v>
      </c>
      <c r="H81" s="35">
        <f t="shared" si="34"/>
        <v>5.42744708061218</v>
      </c>
      <c r="I81" s="35"/>
      <c r="J81" s="35">
        <f t="shared" ref="J81" si="35">MAX(J72:J76)</f>
        <v>0.74740195274353005</v>
      </c>
      <c r="K81" s="35">
        <f>MAX(K72:K76)</f>
        <v>1.75962018966675</v>
      </c>
      <c r="L81" s="35">
        <f t="shared" ref="L81:Z81" si="36">MAX(L72:L76)</f>
        <v>2.6778619289398198</v>
      </c>
      <c r="M81" s="35">
        <f t="shared" si="36"/>
        <v>3.32828712463379</v>
      </c>
      <c r="N81" s="35">
        <f t="shared" si="36"/>
        <v>4.0821609497070304</v>
      </c>
      <c r="O81" s="35">
        <f t="shared" si="36"/>
        <v>4.7450213432312003</v>
      </c>
      <c r="P81" s="35">
        <f t="shared" si="36"/>
        <v>4.7273931503295898</v>
      </c>
      <c r="Q81" s="35">
        <f t="shared" si="36"/>
        <v>4.7429718971252397</v>
      </c>
      <c r="R81" s="35">
        <f t="shared" si="36"/>
        <v>4.8575570583343497</v>
      </c>
      <c r="S81" s="35">
        <f t="shared" si="36"/>
        <v>4.9799468517303502</v>
      </c>
      <c r="T81" s="35">
        <f t="shared" si="36"/>
        <v>5.1201641559600803</v>
      </c>
      <c r="U81" s="35">
        <f t="shared" si="36"/>
        <v>6.0611741542816198</v>
      </c>
      <c r="V81" s="35">
        <f t="shared" si="36"/>
        <v>5.3049027919769296</v>
      </c>
      <c r="W81" s="35">
        <f t="shared" si="36"/>
        <v>5.4842019081115696</v>
      </c>
      <c r="X81" s="35">
        <f t="shared" si="36"/>
        <v>5.5966918468475297</v>
      </c>
      <c r="Y81" s="35">
        <f t="shared" si="36"/>
        <v>5.8329961299896196</v>
      </c>
      <c r="Z81" s="35">
        <f t="shared" si="36"/>
        <v>2.8176829814910902</v>
      </c>
      <c r="AA81" s="33"/>
    </row>
    <row r="82" spans="1:27" ht="19.95" customHeight="1">
      <c r="A82" s="8"/>
      <c r="B82" s="1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26"/>
      <c r="P82" s="8"/>
      <c r="Q82" s="8"/>
      <c r="R82" s="8"/>
      <c r="S82" s="8"/>
      <c r="T82" s="8"/>
      <c r="U82" s="8"/>
      <c r="V82" s="8"/>
      <c r="W82" s="8"/>
      <c r="X82" s="8"/>
      <c r="Y82" s="8"/>
      <c r="Z82" s="17"/>
      <c r="AA82" s="8"/>
    </row>
    <row r="83" spans="1:27" ht="19.95" customHeight="1">
      <c r="A83" s="13" t="s">
        <v>68</v>
      </c>
      <c r="B83" s="18" t="s">
        <v>67</v>
      </c>
      <c r="C83" s="16"/>
      <c r="D83" s="16"/>
      <c r="E83" s="16"/>
      <c r="F83" s="16"/>
      <c r="G83" s="16"/>
      <c r="H83" s="13" t="s">
        <v>67</v>
      </c>
      <c r="I83" s="16"/>
      <c r="J83" s="13" t="s">
        <v>67</v>
      </c>
      <c r="K83" s="16"/>
      <c r="L83" s="16"/>
      <c r="M83" s="16"/>
      <c r="N83" s="16"/>
      <c r="O83" s="27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8" t="s">
        <v>67</v>
      </c>
      <c r="AA83" s="16"/>
    </row>
    <row r="84" spans="1:27" ht="31.95" customHeight="1">
      <c r="A84" s="8"/>
      <c r="B84" s="9" t="s">
        <v>26</v>
      </c>
      <c r="C84" s="10" t="s">
        <v>27</v>
      </c>
      <c r="D84" s="10" t="s">
        <v>28</v>
      </c>
      <c r="E84" s="10" t="s">
        <v>29</v>
      </c>
      <c r="F84" s="10" t="s">
        <v>30</v>
      </c>
      <c r="G84" s="10" t="s">
        <v>31</v>
      </c>
      <c r="H84" s="10" t="s">
        <v>32</v>
      </c>
      <c r="I84" s="8"/>
      <c r="J84" s="10" t="s">
        <v>33</v>
      </c>
      <c r="K84" s="10" t="s">
        <v>34</v>
      </c>
      <c r="L84" s="10" t="s">
        <v>35</v>
      </c>
      <c r="M84" s="10" t="s">
        <v>36</v>
      </c>
      <c r="N84" s="10" t="s">
        <v>37</v>
      </c>
      <c r="O84" s="28" t="s">
        <v>38</v>
      </c>
      <c r="P84" s="10" t="s">
        <v>39</v>
      </c>
      <c r="Q84" s="10" t="s">
        <v>40</v>
      </c>
      <c r="R84" s="10" t="s">
        <v>41</v>
      </c>
      <c r="S84" s="10" t="s">
        <v>42</v>
      </c>
      <c r="T84" s="10" t="s">
        <v>43</v>
      </c>
      <c r="U84" s="10" t="s">
        <v>44</v>
      </c>
      <c r="V84" s="10" t="s">
        <v>45</v>
      </c>
      <c r="W84" s="10" t="s">
        <v>46</v>
      </c>
      <c r="X84" s="10" t="s">
        <v>47</v>
      </c>
      <c r="Y84" s="10" t="s">
        <v>48</v>
      </c>
      <c r="Z84" s="9" t="s">
        <v>49</v>
      </c>
      <c r="AA84" s="8"/>
    </row>
    <row r="85" spans="1:27" ht="19.95" customHeight="1">
      <c r="A85" s="8"/>
      <c r="B85" s="9" t="s">
        <v>69</v>
      </c>
      <c r="C85" s="10" t="s">
        <v>69</v>
      </c>
      <c r="D85" s="10" t="s">
        <v>70</v>
      </c>
      <c r="E85" s="10" t="s">
        <v>71</v>
      </c>
      <c r="F85" s="10" t="s">
        <v>72</v>
      </c>
      <c r="G85" s="10" t="s">
        <v>73</v>
      </c>
      <c r="H85" s="10" t="s">
        <v>74</v>
      </c>
      <c r="I85" s="8"/>
      <c r="J85" s="10" t="s">
        <v>69</v>
      </c>
      <c r="K85" s="10" t="s">
        <v>70</v>
      </c>
      <c r="L85" s="10" t="s">
        <v>71</v>
      </c>
      <c r="M85" s="10" t="s">
        <v>72</v>
      </c>
      <c r="N85" s="10" t="s">
        <v>73</v>
      </c>
      <c r="O85" s="28" t="s">
        <v>61</v>
      </c>
      <c r="P85" s="10" t="s">
        <v>74</v>
      </c>
      <c r="Q85" s="10" t="s">
        <v>74</v>
      </c>
      <c r="R85" s="10" t="s">
        <v>74</v>
      </c>
      <c r="S85" s="10" t="s">
        <v>74</v>
      </c>
      <c r="T85" s="10" t="s">
        <v>74</v>
      </c>
      <c r="U85" s="10" t="s">
        <v>74</v>
      </c>
      <c r="V85" s="10" t="s">
        <v>74</v>
      </c>
      <c r="W85" s="10" t="s">
        <v>74</v>
      </c>
      <c r="X85" s="10" t="s">
        <v>74</v>
      </c>
      <c r="Y85" s="10" t="s">
        <v>74</v>
      </c>
      <c r="Z85" s="9" t="s">
        <v>74</v>
      </c>
      <c r="AA85" s="8"/>
    </row>
    <row r="86" spans="1:27" ht="19.95" customHeight="1">
      <c r="A86" s="8"/>
      <c r="B86" s="12">
        <v>3.8333690166473402</v>
      </c>
      <c r="C86" s="11">
        <v>4.5449452400207502</v>
      </c>
      <c r="D86" s="11">
        <v>6.8056941032409703</v>
      </c>
      <c r="E86" s="11">
        <v>11.5857510566711</v>
      </c>
      <c r="F86" s="11">
        <v>15.0634410381317</v>
      </c>
      <c r="G86" s="11">
        <v>19.674618005752599</v>
      </c>
      <c r="H86" s="11">
        <v>22.3691871166229</v>
      </c>
      <c r="I86" s="8"/>
      <c r="J86" s="11">
        <v>3.7572863101959202</v>
      </c>
      <c r="K86" s="11">
        <v>6.9957618713378897</v>
      </c>
      <c r="L86" s="11">
        <v>10.608934879303</v>
      </c>
      <c r="M86" s="11">
        <v>13.5849959850311</v>
      </c>
      <c r="N86" s="11">
        <v>18.393667936325102</v>
      </c>
      <c r="O86" s="8">
        <v>19.311652040481601</v>
      </c>
      <c r="P86" s="11">
        <v>19.541874170303299</v>
      </c>
      <c r="Q86" s="11">
        <v>19.710321903228799</v>
      </c>
      <c r="R86" s="11">
        <v>19.9093482494354</v>
      </c>
      <c r="S86" s="11">
        <v>20.1877088546753</v>
      </c>
      <c r="T86" s="11">
        <v>20.516205072403</v>
      </c>
      <c r="U86" s="11">
        <v>21.623110771179199</v>
      </c>
      <c r="V86" s="11">
        <v>22.395116806030298</v>
      </c>
      <c r="W86" s="11">
        <v>22.431265115737901</v>
      </c>
      <c r="X86" s="11">
        <v>24.005989074706999</v>
      </c>
      <c r="Y86" s="11">
        <v>23.150851726532</v>
      </c>
      <c r="Z86" s="12">
        <v>11.5505919456482</v>
      </c>
      <c r="AA86" s="8"/>
    </row>
    <row r="87" spans="1:27" ht="19.95" customHeight="1">
      <c r="A87" s="8"/>
      <c r="B87" s="12">
        <v>3.2386772632598899</v>
      </c>
      <c r="C87" s="11">
        <v>4.1187908649444598</v>
      </c>
      <c r="D87" s="11">
        <v>5.9968149662017796</v>
      </c>
      <c r="E87" s="11">
        <v>8.3448729515075701</v>
      </c>
      <c r="F87" s="11">
        <v>10.541530847549399</v>
      </c>
      <c r="G87" s="11">
        <v>13.046504974365201</v>
      </c>
      <c r="H87" s="11">
        <v>15.2049946784973</v>
      </c>
      <c r="I87" s="8"/>
      <c r="J87" s="11">
        <v>3.0175209045410201</v>
      </c>
      <c r="K87" s="11">
        <v>5.3254299163818404</v>
      </c>
      <c r="L87" s="11">
        <v>7.0621869564056396</v>
      </c>
      <c r="M87" s="11">
        <v>8.83792996406555</v>
      </c>
      <c r="N87" s="11">
        <v>10.7963802814484</v>
      </c>
      <c r="O87" s="8">
        <v>12.174844121932999</v>
      </c>
      <c r="P87" s="11">
        <v>12.235702753067001</v>
      </c>
      <c r="Q87" s="11">
        <v>12.406730890274</v>
      </c>
      <c r="R87" s="11">
        <v>12.871592044830299</v>
      </c>
      <c r="S87" s="11">
        <v>13.3954708576202</v>
      </c>
      <c r="T87" s="11">
        <v>13.8830862045288</v>
      </c>
      <c r="U87" s="11">
        <v>14.473475933074999</v>
      </c>
      <c r="V87" s="11">
        <v>14.927726030349699</v>
      </c>
      <c r="W87" s="11">
        <v>15.563063144683801</v>
      </c>
      <c r="X87" s="11">
        <v>16.362619876861601</v>
      </c>
      <c r="Y87" s="11">
        <v>17.085994005203201</v>
      </c>
      <c r="Z87" s="12">
        <v>6.7850599288940403</v>
      </c>
      <c r="AA87" s="8"/>
    </row>
    <row r="88" spans="1:27" ht="19.95" customHeight="1">
      <c r="A88" s="8"/>
      <c r="B88" s="12">
        <v>3.18339991569519</v>
      </c>
      <c r="C88" s="11">
        <v>3.75793409347534</v>
      </c>
      <c r="D88" s="11">
        <v>5.9416549205780003</v>
      </c>
      <c r="E88" s="11">
        <v>8.1810948848724401</v>
      </c>
      <c r="F88" s="11">
        <v>10.5415313243866</v>
      </c>
      <c r="G88" s="11">
        <v>12.975526809692401</v>
      </c>
      <c r="H88" s="11">
        <v>15.026822090148899</v>
      </c>
      <c r="I88" s="8"/>
      <c r="J88" s="11">
        <v>3.10008597373962</v>
      </c>
      <c r="K88" s="11">
        <v>5.2345693111419704</v>
      </c>
      <c r="L88" s="11">
        <v>7.0982367992401096</v>
      </c>
      <c r="M88" s="11">
        <v>8.9937100410461408</v>
      </c>
      <c r="N88" s="11">
        <v>10.7285940647125</v>
      </c>
      <c r="O88" s="8">
        <v>11.9896822929382</v>
      </c>
      <c r="P88" s="11">
        <v>12.1731011867523</v>
      </c>
      <c r="Q88" s="11">
        <v>12.310568094253499</v>
      </c>
      <c r="R88" s="11">
        <v>12.7991580963135</v>
      </c>
      <c r="S88" s="11">
        <v>13.270769834518401</v>
      </c>
      <c r="T88" s="11">
        <v>13.662374734878499</v>
      </c>
      <c r="U88" s="11">
        <v>13.9211699962616</v>
      </c>
      <c r="V88" s="8">
        <v>15.082746309999999</v>
      </c>
      <c r="W88" s="8">
        <v>15.70128456</v>
      </c>
      <c r="X88" s="11">
        <v>16.4493889808655</v>
      </c>
      <c r="Y88" s="11">
        <v>17.084600925445599</v>
      </c>
      <c r="Z88" s="12">
        <v>6.7067182064056396</v>
      </c>
      <c r="AA88" s="8"/>
    </row>
    <row r="89" spans="1:27" ht="19.95" customHeight="1">
      <c r="A89" s="8"/>
      <c r="B89" s="12">
        <v>3.1977398395538299</v>
      </c>
      <c r="C89" s="11">
        <v>3.3446791172027601</v>
      </c>
      <c r="D89" s="11">
        <v>6.0654749870300302</v>
      </c>
      <c r="E89" s="11">
        <v>8.3714280128479004</v>
      </c>
      <c r="F89" s="11">
        <v>10.51997590065</v>
      </c>
      <c r="G89" s="11">
        <v>12.990648269653301</v>
      </c>
      <c r="H89" s="11">
        <v>15.2616062164307</v>
      </c>
      <c r="I89" s="8"/>
      <c r="J89" s="11">
        <v>3.04267477989197</v>
      </c>
      <c r="K89" s="11">
        <v>5.2774169445037797</v>
      </c>
      <c r="L89" s="11">
        <v>7.07535696029663</v>
      </c>
      <c r="M89" s="11">
        <v>8.8577809333801305</v>
      </c>
      <c r="N89" s="11">
        <v>10.792338848113999</v>
      </c>
      <c r="O89" s="8">
        <v>12.1246829986572</v>
      </c>
      <c r="P89" s="11">
        <v>12.205687046051001</v>
      </c>
      <c r="Q89" s="11">
        <v>12.2381920814514</v>
      </c>
      <c r="R89" s="11">
        <v>12.825476884841899</v>
      </c>
      <c r="S89" s="11">
        <v>13.3979959487915</v>
      </c>
      <c r="T89" s="11">
        <v>13.685672044754</v>
      </c>
      <c r="U89" s="11">
        <v>13.987123966217</v>
      </c>
      <c r="V89" s="11">
        <v>15.1463959217072</v>
      </c>
      <c r="W89" s="8">
        <v>15.592736479999999</v>
      </c>
      <c r="X89" s="11">
        <v>16.434996843337998</v>
      </c>
      <c r="Y89" s="11">
        <v>17.1291520595551</v>
      </c>
      <c r="Z89" s="12">
        <v>6.6806049346923801</v>
      </c>
      <c r="AA89" s="8"/>
    </row>
    <row r="90" spans="1:27" ht="19.95" customHeight="1">
      <c r="A90" s="8"/>
      <c r="B90" s="12">
        <v>3.15561819076538</v>
      </c>
      <c r="C90" s="11">
        <v>3.1861729621887198</v>
      </c>
      <c r="D90" s="11">
        <v>5.9830977916717503</v>
      </c>
      <c r="E90" s="11">
        <v>8.2563130855560303</v>
      </c>
      <c r="F90" s="11">
        <v>10.6231207847595</v>
      </c>
      <c r="G90" s="11">
        <v>13.084162235260001</v>
      </c>
      <c r="H90" s="11">
        <v>15.132641792297401</v>
      </c>
      <c r="I90" s="8"/>
      <c r="J90" s="11">
        <v>3.0913960933685298</v>
      </c>
      <c r="K90" s="11">
        <v>5.2831737995147696</v>
      </c>
      <c r="L90" s="11">
        <v>7.01529812812805</v>
      </c>
      <c r="M90" s="11">
        <v>8.9271442890167201</v>
      </c>
      <c r="N90" s="11">
        <v>10.767038822174101</v>
      </c>
      <c r="O90" s="8">
        <v>12.066300249099699</v>
      </c>
      <c r="P90" s="11">
        <v>12.1703805923462</v>
      </c>
      <c r="Q90" s="11">
        <v>12.4094681739807</v>
      </c>
      <c r="R90" s="11">
        <v>12.7006268501282</v>
      </c>
      <c r="S90" s="11">
        <v>13.2908999919891</v>
      </c>
      <c r="T90" s="11">
        <v>14.111111879348799</v>
      </c>
      <c r="U90" s="11">
        <v>14.0617940425873</v>
      </c>
      <c r="V90" s="8">
        <v>14.96831547</v>
      </c>
      <c r="W90" s="8">
        <v>15.644097800000001</v>
      </c>
      <c r="X90" s="11">
        <v>16.641928911209099</v>
      </c>
      <c r="Y90" s="11">
        <v>17.048248767852801</v>
      </c>
      <c r="Z90" s="12">
        <v>6.8190369606018102</v>
      </c>
      <c r="AA90" s="8"/>
    </row>
    <row r="91" spans="1:27" ht="19.95" customHeight="1">
      <c r="A91" s="8"/>
      <c r="B91" s="12">
        <v>3.22095799446106</v>
      </c>
      <c r="C91" s="11">
        <v>3.1800282001495401</v>
      </c>
      <c r="D91" s="11">
        <v>5.9002928733825701</v>
      </c>
      <c r="E91" s="11">
        <v>8.3315141201019305</v>
      </c>
      <c r="F91" s="11">
        <v>10.351799011230501</v>
      </c>
      <c r="G91" s="11">
        <v>13.118345975875901</v>
      </c>
      <c r="H91" s="11">
        <v>14.796758174896199</v>
      </c>
      <c r="I91" s="8"/>
      <c r="J91" s="11">
        <v>3.02700614929199</v>
      </c>
      <c r="K91" s="11">
        <v>5.2655000686645499</v>
      </c>
      <c r="L91" s="11">
        <v>7.0609450340270996</v>
      </c>
      <c r="M91" s="11">
        <v>8.8707480430602992</v>
      </c>
      <c r="N91" s="11">
        <v>10.6410708427429</v>
      </c>
      <c r="O91" s="8">
        <v>12.133022880554199</v>
      </c>
      <c r="P91" s="11">
        <v>12.1791310310364</v>
      </c>
      <c r="Q91" s="11">
        <v>12.328556060791</v>
      </c>
      <c r="R91" s="11">
        <v>12.7383229732513</v>
      </c>
      <c r="S91" s="11">
        <v>13.415772914886499</v>
      </c>
      <c r="T91" s="11">
        <v>13.7800478935242</v>
      </c>
      <c r="U91" s="11">
        <v>14.1174228191376</v>
      </c>
      <c r="V91" s="8">
        <v>15.06012117</v>
      </c>
      <c r="W91" s="11">
        <v>15.7290160655975</v>
      </c>
      <c r="X91" s="11">
        <v>16.666323184966998</v>
      </c>
      <c r="Y91" s="11">
        <v>17.143666982650799</v>
      </c>
      <c r="Z91" s="12">
        <v>6.6396842002868697</v>
      </c>
      <c r="AA91" s="8"/>
    </row>
    <row r="92" spans="1:27" ht="19.95" customHeight="1">
      <c r="A92" s="13" t="s">
        <v>62</v>
      </c>
      <c r="B92" s="14">
        <f t="shared" ref="B92:H92" si="37">AVERAGE(B87:B91)</f>
        <v>3.1992786407470697</v>
      </c>
      <c r="C92" s="15">
        <f t="shared" si="37"/>
        <v>3.5175210475921639</v>
      </c>
      <c r="D92" s="15">
        <f t="shared" si="37"/>
        <v>5.9774671077728261</v>
      </c>
      <c r="E92" s="15">
        <f t="shared" si="37"/>
        <v>8.2970446109771743</v>
      </c>
      <c r="F92" s="15">
        <f t="shared" si="37"/>
        <v>10.515591573715199</v>
      </c>
      <c r="G92" s="15">
        <f t="shared" si="37"/>
        <v>13.04303765296936</v>
      </c>
      <c r="H92" s="15">
        <f t="shared" si="37"/>
        <v>15.084564590454098</v>
      </c>
      <c r="I92" s="16"/>
      <c r="J92" s="15">
        <f t="shared" ref="J92:Z92" si="38">AVERAGE(J87:J91)</f>
        <v>3.055736780166626</v>
      </c>
      <c r="K92" s="15">
        <f t="shared" si="38"/>
        <v>5.2772180080413822</v>
      </c>
      <c r="L92" s="15">
        <f t="shared" si="38"/>
        <v>7.0624047756195054</v>
      </c>
      <c r="M92" s="15">
        <f t="shared" si="38"/>
        <v>8.8974626541137702</v>
      </c>
      <c r="N92" s="15">
        <f t="shared" si="38"/>
        <v>10.74508457183838</v>
      </c>
      <c r="O92" s="15">
        <f t="shared" si="38"/>
        <v>12.09770650863646</v>
      </c>
      <c r="P92" s="15">
        <f t="shared" si="38"/>
        <v>12.192800521850581</v>
      </c>
      <c r="Q92" s="15">
        <f t="shared" si="38"/>
        <v>12.33870306015012</v>
      </c>
      <c r="R92" s="15">
        <f t="shared" si="38"/>
        <v>12.78703536987304</v>
      </c>
      <c r="S92" s="15">
        <f t="shared" si="38"/>
        <v>13.35418190956114</v>
      </c>
      <c r="T92" s="15">
        <f t="shared" si="38"/>
        <v>13.82445855140686</v>
      </c>
      <c r="U92" s="15">
        <f t="shared" si="38"/>
        <v>14.1121973514557</v>
      </c>
      <c r="V92" s="15">
        <f>AVERAGE(V87:V91)</f>
        <v>15.037060980411379</v>
      </c>
      <c r="W92" s="15">
        <f>AVERAGE(W87:W91)</f>
        <v>15.64603961005626</v>
      </c>
      <c r="X92" s="15">
        <f t="shared" si="38"/>
        <v>16.511051559448241</v>
      </c>
      <c r="Y92" s="15">
        <f t="shared" si="38"/>
        <v>17.098332548141499</v>
      </c>
      <c r="Z92" s="14">
        <f t="shared" si="38"/>
        <v>6.7262208461761475</v>
      </c>
      <c r="AA92" s="16"/>
    </row>
    <row r="93" spans="1:27" s="34" customFormat="1" ht="19.95" customHeight="1">
      <c r="A93" s="33" t="s">
        <v>103</v>
      </c>
      <c r="B93" s="35">
        <f t="shared" ref="B93:H93" si="39">_xlfn.CONFIDENCE.T(0.05, B94, 5)</f>
        <v>4.0152918703089568E-2</v>
      </c>
      <c r="C93" s="35">
        <f t="shared" si="39"/>
        <v>0.50926812731001236</v>
      </c>
      <c r="D93" s="35">
        <f t="shared" si="39"/>
        <v>7.7017722060688076E-2</v>
      </c>
      <c r="E93" s="35">
        <f t="shared" si="39"/>
        <v>9.6403003598433443E-2</v>
      </c>
      <c r="F93" s="35">
        <f t="shared" si="39"/>
        <v>0.12378629358820892</v>
      </c>
      <c r="G93" s="35">
        <f t="shared" si="39"/>
        <v>7.5212864103612193E-2</v>
      </c>
      <c r="H93" s="35">
        <f t="shared" si="39"/>
        <v>0.22753750241460841</v>
      </c>
      <c r="I93" s="35"/>
      <c r="J93" s="35">
        <f t="shared" ref="J93:Z93" si="40">_xlfn.CONFIDENCE.T(0.05, J94, 5)</f>
        <v>4.6851043683724336E-2</v>
      </c>
      <c r="K93" s="35">
        <f t="shared" si="40"/>
        <v>4.0786916906186917E-2</v>
      </c>
      <c r="L93" s="35">
        <f t="shared" si="40"/>
        <v>3.7625223712441293E-2</v>
      </c>
      <c r="M93" s="35">
        <f t="shared" si="40"/>
        <v>7.8473286324071204E-2</v>
      </c>
      <c r="N93" s="35">
        <f t="shared" si="40"/>
        <v>7.9594919432368127E-2</v>
      </c>
      <c r="O93" s="35">
        <f t="shared" si="40"/>
        <v>8.9064561273534654E-2</v>
      </c>
      <c r="P93" s="35">
        <f t="shared" si="40"/>
        <v>3.4478462599970873E-2</v>
      </c>
      <c r="Q93" s="35">
        <f t="shared" si="40"/>
        <v>8.9176377824572689E-2</v>
      </c>
      <c r="R93" s="35">
        <f t="shared" si="40"/>
        <v>8.4701763334309163E-2</v>
      </c>
      <c r="S93" s="35">
        <f t="shared" si="40"/>
        <v>8.4168139564030769E-2</v>
      </c>
      <c r="T93" s="35">
        <f t="shared" si="40"/>
        <v>0.22650798047120183</v>
      </c>
      <c r="U93" s="35">
        <f t="shared" si="40"/>
        <v>0.26719213971672168</v>
      </c>
      <c r="V93" s="35">
        <f t="shared" si="40"/>
        <v>0.1097541209572224</v>
      </c>
      <c r="W93" s="35">
        <f t="shared" si="40"/>
        <v>8.7065318356866539E-2</v>
      </c>
      <c r="X93" s="35">
        <f t="shared" si="40"/>
        <v>0.16757487007526031</v>
      </c>
      <c r="Y93" s="35">
        <f t="shared" si="40"/>
        <v>4.7501703406654772E-2</v>
      </c>
      <c r="Z93" s="35">
        <f t="shared" si="40"/>
        <v>9.2139969515443537E-2</v>
      </c>
      <c r="AA93" s="33"/>
    </row>
    <row r="94" spans="1:27" s="34" customFormat="1" ht="19.95" customHeight="1">
      <c r="A94" s="31" t="s">
        <v>97</v>
      </c>
      <c r="B94" s="32">
        <f>_xlfn.STDEV.S(B87:B91)</f>
        <v>3.2337990600658652E-2</v>
      </c>
      <c r="C94" s="32">
        <f>_xlfn.STDEV.S(C87:C91)</f>
        <v>0.41014970881553947</v>
      </c>
      <c r="D94" s="32">
        <f t="shared" ref="D94:H94" si="41">_xlfn.STDEV.S(D87:D91)</f>
        <v>6.2027828923206831E-2</v>
      </c>
      <c r="E94" s="32">
        <f t="shared" si="41"/>
        <v>7.7640169754372768E-2</v>
      </c>
      <c r="F94" s="32">
        <f t="shared" si="41"/>
        <v>9.9693873517539874E-2</v>
      </c>
      <c r="G94" s="32">
        <f t="shared" si="41"/>
        <v>6.0574248921139565E-2</v>
      </c>
      <c r="H94" s="32">
        <f t="shared" si="41"/>
        <v>0.18325207362359894</v>
      </c>
      <c r="I94" s="32"/>
      <c r="J94" s="32">
        <f t="shared" ref="J94:Z94" si="42">_xlfn.STDEV.S(J87:J91)</f>
        <v>3.7732465265563592E-2</v>
      </c>
      <c r="K94" s="32">
        <f t="shared" si="42"/>
        <v>3.2848594277671526E-2</v>
      </c>
      <c r="L94" s="32">
        <f t="shared" si="42"/>
        <v>3.0302258716425137E-2</v>
      </c>
      <c r="M94" s="32">
        <f t="shared" si="42"/>
        <v>6.3200097963372934E-2</v>
      </c>
      <c r="N94" s="32">
        <f t="shared" si="42"/>
        <v>6.4103428582541658E-2</v>
      </c>
      <c r="O94" s="32">
        <f t="shared" si="42"/>
        <v>7.17300021603096E-2</v>
      </c>
      <c r="P94" s="32">
        <f t="shared" si="42"/>
        <v>2.7767949018292111E-2</v>
      </c>
      <c r="Q94" s="32">
        <f t="shared" si="42"/>
        <v>7.1820055951995421E-2</v>
      </c>
      <c r="R94" s="32">
        <f t="shared" si="42"/>
        <v>6.8216331839242972E-2</v>
      </c>
      <c r="S94" s="32">
        <f t="shared" si="42"/>
        <v>6.7786566805344631E-2</v>
      </c>
      <c r="T94" s="32">
        <f t="shared" si="42"/>
        <v>0.1824229266523604</v>
      </c>
      <c r="U94" s="32">
        <f t="shared" si="42"/>
        <v>0.21518876290465977</v>
      </c>
      <c r="V94" s="32">
        <f t="shared" si="42"/>
        <v>8.8392770601383841E-2</v>
      </c>
      <c r="W94" s="32">
        <f t="shared" si="42"/>
        <v>7.0119870176487645E-2</v>
      </c>
      <c r="X94" s="32">
        <f t="shared" si="42"/>
        <v>0.13495991694828888</v>
      </c>
      <c r="Y94" s="32">
        <f t="shared" si="42"/>
        <v>3.8256487645105641E-2</v>
      </c>
      <c r="Z94" s="32">
        <f t="shared" si="42"/>
        <v>7.4206846335833632E-2</v>
      </c>
      <c r="AA94" s="33"/>
    </row>
    <row r="95" spans="1:27" s="34" customFormat="1" ht="19.95" customHeight="1">
      <c r="A95" s="31" t="s">
        <v>98</v>
      </c>
      <c r="B95" s="32">
        <f>MIN(B87:B91)</f>
        <v>3.15561819076538</v>
      </c>
      <c r="C95" s="32">
        <f t="shared" ref="C95:E95" si="43">MIN(C87:C91)</f>
        <v>3.1800282001495401</v>
      </c>
      <c r="D95" s="32">
        <f t="shared" si="43"/>
        <v>5.9002928733825701</v>
      </c>
      <c r="E95" s="32">
        <f t="shared" si="43"/>
        <v>8.1810948848724401</v>
      </c>
      <c r="F95" s="32">
        <f>MIN(F87:F91)</f>
        <v>10.351799011230501</v>
      </c>
      <c r="G95" s="32">
        <f t="shared" ref="G95:H95" si="44">MIN(G87:G91)</f>
        <v>12.975526809692401</v>
      </c>
      <c r="H95" s="32">
        <f t="shared" si="44"/>
        <v>14.796758174896199</v>
      </c>
      <c r="I95" s="32"/>
      <c r="J95" s="32">
        <f>MIN(J87:J91)</f>
        <v>3.0175209045410201</v>
      </c>
      <c r="K95" s="32">
        <f t="shared" ref="K95:L95" si="45">MIN(K87:K91)</f>
        <v>5.2345693111419704</v>
      </c>
      <c r="L95" s="32">
        <f t="shared" si="45"/>
        <v>7.01529812812805</v>
      </c>
      <c r="M95" s="32">
        <f>MIN(M87:M91)</f>
        <v>8.83792996406555</v>
      </c>
      <c r="N95" s="32">
        <f t="shared" ref="N95:Z95" si="46">MIN(N87:N91)</f>
        <v>10.6410708427429</v>
      </c>
      <c r="O95" s="32">
        <f t="shared" si="46"/>
        <v>11.9896822929382</v>
      </c>
      <c r="P95" s="32">
        <f t="shared" si="46"/>
        <v>12.1703805923462</v>
      </c>
      <c r="Q95" s="32">
        <f t="shared" si="46"/>
        <v>12.2381920814514</v>
      </c>
      <c r="R95" s="32">
        <f t="shared" si="46"/>
        <v>12.7006268501282</v>
      </c>
      <c r="S95" s="32">
        <f t="shared" si="46"/>
        <v>13.270769834518401</v>
      </c>
      <c r="T95" s="32">
        <f t="shared" si="46"/>
        <v>13.662374734878499</v>
      </c>
      <c r="U95" s="32">
        <f t="shared" si="46"/>
        <v>13.9211699962616</v>
      </c>
      <c r="V95" s="32">
        <f t="shared" si="46"/>
        <v>14.927726030349699</v>
      </c>
      <c r="W95" s="32">
        <f t="shared" si="46"/>
        <v>15.563063144683801</v>
      </c>
      <c r="X95" s="32">
        <f t="shared" si="46"/>
        <v>16.362619876861601</v>
      </c>
      <c r="Y95" s="32">
        <f t="shared" si="46"/>
        <v>17.048248767852801</v>
      </c>
      <c r="Z95" s="32">
        <f t="shared" si="46"/>
        <v>6.6396842002868697</v>
      </c>
      <c r="AA95" s="33"/>
    </row>
    <row r="96" spans="1:27" s="34" customFormat="1" ht="19.95" customHeight="1">
      <c r="A96" s="33" t="s">
        <v>99</v>
      </c>
      <c r="B96" s="35">
        <f>MAX(B87:B91)</f>
        <v>3.2386772632598899</v>
      </c>
      <c r="C96" s="35">
        <f>MAX(C87:C91)</f>
        <v>4.1187908649444598</v>
      </c>
      <c r="D96" s="35">
        <f t="shared" ref="D96:H96" si="47">MAX(D87:D91)</f>
        <v>6.0654749870300302</v>
      </c>
      <c r="E96" s="35">
        <f>MAX(E87:E91)</f>
        <v>8.3714280128479004</v>
      </c>
      <c r="F96" s="35">
        <f t="shared" si="47"/>
        <v>10.6231207847595</v>
      </c>
      <c r="G96" s="35">
        <f t="shared" si="47"/>
        <v>13.118345975875901</v>
      </c>
      <c r="H96" s="35">
        <f t="shared" si="47"/>
        <v>15.2616062164307</v>
      </c>
      <c r="I96" s="35"/>
      <c r="J96" s="35">
        <f t="shared" ref="J96" si="48">MAX(J87:J91)</f>
        <v>3.10008597373962</v>
      </c>
      <c r="K96" s="35">
        <f>MAX(K87:K91)</f>
        <v>5.3254299163818404</v>
      </c>
      <c r="L96" s="35">
        <f t="shared" ref="L96:Z96" si="49">MAX(L87:L91)</f>
        <v>7.0982367992401096</v>
      </c>
      <c r="M96" s="35">
        <f t="shared" si="49"/>
        <v>8.9937100410461408</v>
      </c>
      <c r="N96" s="35">
        <f t="shared" si="49"/>
        <v>10.7963802814484</v>
      </c>
      <c r="O96" s="35">
        <f t="shared" si="49"/>
        <v>12.174844121932999</v>
      </c>
      <c r="P96" s="35">
        <f t="shared" si="49"/>
        <v>12.235702753067001</v>
      </c>
      <c r="Q96" s="35">
        <f t="shared" si="49"/>
        <v>12.4094681739807</v>
      </c>
      <c r="R96" s="35">
        <f t="shared" si="49"/>
        <v>12.871592044830299</v>
      </c>
      <c r="S96" s="35">
        <f>MAX(S87:S91)</f>
        <v>13.415772914886499</v>
      </c>
      <c r="T96" s="35">
        <f t="shared" si="49"/>
        <v>14.111111879348799</v>
      </c>
      <c r="U96" s="35">
        <f t="shared" si="49"/>
        <v>14.473475933074999</v>
      </c>
      <c r="V96" s="35">
        <f t="shared" si="49"/>
        <v>15.1463959217072</v>
      </c>
      <c r="W96" s="35">
        <f t="shared" si="49"/>
        <v>15.7290160655975</v>
      </c>
      <c r="X96" s="35">
        <f t="shared" si="49"/>
        <v>16.666323184966998</v>
      </c>
      <c r="Y96" s="35">
        <f t="shared" si="49"/>
        <v>17.143666982650799</v>
      </c>
      <c r="Z96" s="35">
        <f t="shared" si="49"/>
        <v>6.8190369606018102</v>
      </c>
      <c r="AA96" s="33"/>
    </row>
    <row r="97" spans="1:27" ht="19.95" customHeight="1">
      <c r="A97" s="8"/>
      <c r="B97" s="1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7"/>
      <c r="AA97" s="8"/>
    </row>
    <row r="98" spans="1:27" ht="19.95" customHeight="1">
      <c r="A98" s="8"/>
      <c r="B98" s="1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7"/>
      <c r="AA98" s="8"/>
    </row>
    <row r="99" spans="1:27" ht="19.95" customHeight="1">
      <c r="A99" s="8"/>
      <c r="B99" s="1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7"/>
      <c r="AA99" s="8"/>
    </row>
    <row r="100" spans="1:27" ht="19.95" customHeight="1">
      <c r="A100" s="8"/>
      <c r="B100" s="1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7"/>
      <c r="AA100" s="8"/>
    </row>
    <row r="101" spans="1:27" ht="19.95" customHeight="1">
      <c r="A101" s="8"/>
      <c r="B101" s="1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7"/>
      <c r="AA101" s="8"/>
    </row>
    <row r="102" spans="1:27" ht="19.95" customHeight="1">
      <c r="A102" s="8"/>
      <c r="B102" s="1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7"/>
      <c r="AA102" s="8"/>
    </row>
    <row r="103" spans="1:27" ht="19.95" customHeight="1">
      <c r="A103" s="8"/>
      <c r="B103" s="1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7"/>
      <c r="AA103" s="8"/>
    </row>
    <row r="104" spans="1:27" ht="19.95" customHeight="1">
      <c r="A104" s="8"/>
      <c r="B104" s="1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7"/>
      <c r="AA104" s="8"/>
    </row>
    <row r="105" spans="1:27" ht="19.95" customHeight="1">
      <c r="A105" s="8"/>
      <c r="B105" s="1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7"/>
      <c r="AA105" s="8"/>
    </row>
    <row r="106" spans="1:27" ht="19.95" customHeight="1">
      <c r="A106" s="8"/>
      <c r="B106" s="1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7"/>
      <c r="AA106" s="8"/>
    </row>
    <row r="107" spans="1:27" ht="19.95" customHeight="1">
      <c r="A107" s="8"/>
      <c r="B107" s="1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7"/>
      <c r="AA107" s="8"/>
    </row>
    <row r="108" spans="1:27" ht="19.95" customHeight="1">
      <c r="A108" s="8"/>
      <c r="B108" s="1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7"/>
      <c r="AA108" s="8"/>
    </row>
    <row r="109" spans="1:27" ht="19.95" customHeight="1">
      <c r="A109" s="8"/>
      <c r="B109" s="1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7"/>
      <c r="AA109" s="8"/>
    </row>
    <row r="110" spans="1:27" ht="19.95" customHeight="1">
      <c r="A110" s="8"/>
      <c r="B110" s="1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7"/>
      <c r="AA110" s="8"/>
    </row>
    <row r="111" spans="1:27" ht="19.95" customHeight="1">
      <c r="A111" s="8"/>
      <c r="B111" s="1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7"/>
      <c r="AA111" s="8"/>
    </row>
    <row r="112" spans="1:27" ht="19.95" customHeight="1">
      <c r="A112" s="8"/>
      <c r="B112" s="1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7"/>
      <c r="AA112" s="8"/>
    </row>
    <row r="113" spans="1:27" ht="19.95" customHeight="1">
      <c r="A113" s="8"/>
      <c r="B113" s="1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7"/>
      <c r="AA113" s="8"/>
    </row>
    <row r="114" spans="1:27" ht="19.95" customHeight="1">
      <c r="A114" s="8"/>
      <c r="B114" s="1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7"/>
      <c r="AA114" s="8"/>
    </row>
    <row r="115" spans="1:27" ht="19.95" customHeight="1">
      <c r="A115" s="8"/>
      <c r="B115" s="1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7"/>
      <c r="AA115" s="8"/>
    </row>
    <row r="116" spans="1:27" ht="19.95" customHeight="1">
      <c r="A116" s="8"/>
      <c r="B116" s="1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7"/>
      <c r="AA116" s="8"/>
    </row>
    <row r="117" spans="1:27" ht="19.95" customHeight="1">
      <c r="A117" s="8"/>
      <c r="B117" s="1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7"/>
      <c r="AA117" s="8"/>
    </row>
    <row r="118" spans="1:27" ht="19.95" customHeight="1">
      <c r="A118" s="8"/>
      <c r="B118" s="1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7"/>
      <c r="AA118" s="8"/>
    </row>
    <row r="119" spans="1:27" ht="19.95" customHeight="1">
      <c r="A119" s="8"/>
      <c r="B119" s="1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7"/>
      <c r="AA119" s="8"/>
    </row>
    <row r="120" spans="1:27" ht="19.95" customHeight="1">
      <c r="A120" s="8"/>
      <c r="B120" s="1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7"/>
      <c r="AA120" s="8"/>
    </row>
    <row r="121" spans="1:27" ht="19.95" customHeight="1">
      <c r="A121" s="8"/>
      <c r="B121" s="1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7"/>
      <c r="AA121" s="8"/>
    </row>
    <row r="122" spans="1:27" ht="19.95" customHeight="1">
      <c r="A122" s="8"/>
      <c r="B122" s="1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7"/>
      <c r="AA122" s="8"/>
    </row>
    <row r="123" spans="1:27" ht="19.95" customHeight="1">
      <c r="A123" s="8"/>
      <c r="B123" s="1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7"/>
      <c r="AA123" s="8"/>
    </row>
    <row r="124" spans="1:27" ht="19.95" customHeight="1">
      <c r="A124" s="8"/>
      <c r="B124" s="1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7"/>
      <c r="AA124" s="8"/>
    </row>
    <row r="125" spans="1:27" ht="19.95" customHeight="1">
      <c r="A125" s="8"/>
      <c r="B125" s="1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7"/>
      <c r="AA125" s="8"/>
    </row>
    <row r="126" spans="1:27" ht="19.95" customHeight="1">
      <c r="A126" s="8"/>
      <c r="B126" s="1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7"/>
      <c r="AA126" s="8"/>
    </row>
    <row r="127" spans="1:27" ht="19.95" customHeight="1">
      <c r="A127" s="8"/>
      <c r="B127" s="1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7"/>
      <c r="AA127" s="8"/>
    </row>
    <row r="128" spans="1:27" ht="19.95" customHeight="1">
      <c r="A128" s="8"/>
      <c r="B128" s="1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7"/>
      <c r="AA128" s="8"/>
    </row>
    <row r="129" spans="1:27" ht="19.95" customHeight="1">
      <c r="A129" s="8"/>
      <c r="B129" s="1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7"/>
      <c r="AA129" s="8"/>
    </row>
    <row r="130" spans="1:27" ht="19.95" customHeight="1">
      <c r="A130" s="8"/>
      <c r="B130" s="1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7"/>
      <c r="AA130" s="8"/>
    </row>
    <row r="131" spans="1:27" ht="19.95" customHeight="1">
      <c r="A131" s="8"/>
      <c r="B131" s="1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7"/>
      <c r="AA131" s="8"/>
    </row>
    <row r="132" spans="1:27" ht="19.95" customHeight="1">
      <c r="A132" s="8"/>
      <c r="B132" s="1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7"/>
      <c r="AA132" s="8"/>
    </row>
    <row r="133" spans="1:27" ht="19.95" customHeight="1">
      <c r="A133" s="8"/>
      <c r="B133" s="1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7"/>
      <c r="AA133" s="8"/>
    </row>
    <row r="134" spans="1:27" ht="19.95" customHeight="1">
      <c r="A134" s="8"/>
      <c r="B134" s="1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7"/>
      <c r="AA134" s="8"/>
    </row>
    <row r="135" spans="1:27" ht="19.95" customHeight="1">
      <c r="A135" s="8"/>
      <c r="B135" s="1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7"/>
      <c r="AA135" s="8"/>
    </row>
    <row r="136" spans="1:27" ht="19.95" customHeight="1">
      <c r="A136" s="8"/>
      <c r="B136" s="1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7"/>
      <c r="AA136" s="8"/>
    </row>
    <row r="137" spans="1:27" ht="19.95" customHeight="1">
      <c r="A137" s="8"/>
      <c r="B137" s="1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7"/>
      <c r="AA137" s="8"/>
    </row>
    <row r="138" spans="1:27" ht="19.95" customHeight="1">
      <c r="A138" s="8"/>
      <c r="B138" s="1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7"/>
      <c r="AA138" s="8"/>
    </row>
    <row r="139" spans="1:27" ht="19.95" customHeight="1">
      <c r="A139" s="8"/>
      <c r="B139" s="1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7"/>
      <c r="AA139" s="8"/>
    </row>
    <row r="140" spans="1:27" ht="19.95" customHeight="1">
      <c r="A140" s="8"/>
      <c r="B140" s="1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7"/>
      <c r="AA140" s="8"/>
    </row>
    <row r="141" spans="1:27" ht="19.95" customHeight="1">
      <c r="A141" s="8"/>
      <c r="B141" s="1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7"/>
      <c r="AA141" s="8"/>
    </row>
    <row r="142" spans="1:27" ht="19.95" customHeight="1">
      <c r="A142" s="8"/>
      <c r="B142" s="1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7"/>
      <c r="AA142" s="8"/>
    </row>
    <row r="143" spans="1:27" ht="19.95" customHeight="1">
      <c r="A143" s="8"/>
      <c r="B143" s="1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7"/>
      <c r="AA143" s="8"/>
    </row>
    <row r="144" spans="1:27" ht="19.95" customHeight="1">
      <c r="A144" s="8"/>
      <c r="B144" s="1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7"/>
      <c r="AA144" s="8"/>
    </row>
    <row r="145" spans="1:27" ht="19.95" customHeight="1">
      <c r="A145" s="8"/>
      <c r="B145" s="1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7"/>
      <c r="AA145" s="8"/>
    </row>
    <row r="146" spans="1:27" ht="19.95" customHeight="1">
      <c r="A146" s="8"/>
      <c r="B146" s="1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7"/>
      <c r="AA146" s="8"/>
    </row>
    <row r="147" spans="1:27" ht="19.95" customHeight="1">
      <c r="A147" s="8"/>
      <c r="B147" s="1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7"/>
      <c r="AA147" s="8"/>
    </row>
    <row r="148" spans="1:27" ht="19.95" customHeight="1">
      <c r="A148" s="8"/>
      <c r="B148" s="1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7"/>
      <c r="AA148" s="8"/>
    </row>
    <row r="149" spans="1:27" ht="19.95" customHeight="1">
      <c r="A149" s="8"/>
      <c r="B149" s="1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7"/>
      <c r="AA149" s="8"/>
    </row>
    <row r="150" spans="1:27" ht="19.95" customHeight="1">
      <c r="A150" s="8"/>
      <c r="B150" s="1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7"/>
      <c r="AA150" s="8"/>
    </row>
    <row r="151" spans="1:27" ht="19.95" customHeight="1">
      <c r="A151" s="8"/>
      <c r="B151" s="1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7"/>
      <c r="AA151" s="8"/>
    </row>
    <row r="152" spans="1:27" ht="19.95" customHeight="1">
      <c r="A152" s="8"/>
      <c r="B152" s="1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7"/>
      <c r="AA152" s="8"/>
    </row>
    <row r="153" spans="1:27" ht="19.95" customHeight="1">
      <c r="A153" s="8"/>
      <c r="B153" s="1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7"/>
      <c r="AA153" s="8"/>
    </row>
    <row r="154" spans="1:27" ht="19.95" customHeight="1">
      <c r="A154" s="8"/>
      <c r="B154" s="1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7"/>
      <c r="AA154" s="8"/>
    </row>
    <row r="155" spans="1:27" ht="19.95" customHeight="1">
      <c r="A155" s="8"/>
      <c r="B155" s="1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7"/>
      <c r="AA155" s="8"/>
    </row>
    <row r="156" spans="1:27" ht="19.95" customHeight="1">
      <c r="A156" s="8"/>
      <c r="B156" s="1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7"/>
      <c r="AA156" s="8"/>
    </row>
    <row r="157" spans="1:27" ht="19.95" customHeight="1">
      <c r="A157" s="8"/>
      <c r="B157" s="1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7"/>
      <c r="AA157" s="8"/>
    </row>
    <row r="158" spans="1:27" ht="19.95" customHeight="1">
      <c r="A158" s="8"/>
      <c r="B158" s="1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7"/>
      <c r="AA158" s="8"/>
    </row>
    <row r="159" spans="1:27" ht="19.95" customHeight="1">
      <c r="A159" s="8"/>
      <c r="B159" s="1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7"/>
      <c r="AA159" s="8"/>
    </row>
    <row r="160" spans="1:27" ht="19.95" customHeight="1">
      <c r="A160" s="8"/>
      <c r="B160" s="1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7"/>
      <c r="AA160" s="8"/>
    </row>
    <row r="161" spans="1:27" ht="19.95" customHeight="1">
      <c r="A161" s="8"/>
      <c r="B161" s="1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7"/>
      <c r="AA161" s="8"/>
    </row>
    <row r="162" spans="1:27" ht="19.95" customHeight="1">
      <c r="A162" s="8"/>
      <c r="B162" s="1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7"/>
      <c r="AA162" s="8"/>
    </row>
    <row r="163" spans="1:27" ht="19.95" customHeight="1">
      <c r="A163" s="8"/>
      <c r="B163" s="1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7"/>
      <c r="AA163" s="8"/>
    </row>
    <row r="164" spans="1:27" ht="19.95" customHeight="1">
      <c r="A164" s="8"/>
      <c r="B164" s="1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7"/>
      <c r="AA164" s="8"/>
    </row>
    <row r="165" spans="1:27" ht="19.95" customHeight="1">
      <c r="A165" s="8"/>
      <c r="B165" s="1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7"/>
      <c r="AA165" s="8"/>
    </row>
    <row r="166" spans="1:27" ht="19.95" customHeight="1">
      <c r="A166" s="8"/>
      <c r="B166" s="1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7"/>
      <c r="AA166" s="8"/>
    </row>
    <row r="167" spans="1:27" ht="19.95" customHeight="1">
      <c r="A167" s="8"/>
      <c r="B167" s="1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7"/>
      <c r="AA167" s="8"/>
    </row>
    <row r="168" spans="1:27" ht="19.95" customHeight="1">
      <c r="A168" s="8"/>
      <c r="B168" s="1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7"/>
      <c r="AA168" s="8"/>
    </row>
    <row r="169" spans="1:27" ht="19.95" customHeight="1">
      <c r="A169" s="8"/>
      <c r="B169" s="1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7"/>
      <c r="AA169" s="8"/>
    </row>
    <row r="170" spans="1:27" ht="19.95" customHeight="1">
      <c r="A170" s="8"/>
      <c r="B170" s="1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7"/>
      <c r="AA170" s="8"/>
    </row>
    <row r="171" spans="1:27" ht="19.95" customHeight="1">
      <c r="A171" s="8"/>
      <c r="B171" s="1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7"/>
      <c r="AA171" s="8"/>
    </row>
    <row r="172" spans="1:27" ht="19.95" customHeight="1">
      <c r="A172" s="8"/>
      <c r="B172" s="1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7"/>
      <c r="AA172" s="8"/>
    </row>
    <row r="173" spans="1:27" ht="19.95" customHeight="1">
      <c r="A173" s="8"/>
      <c r="B173" s="1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7"/>
      <c r="AA173" s="8"/>
    </row>
    <row r="174" spans="1:27" ht="19.95" customHeight="1">
      <c r="A174" s="8"/>
      <c r="B174" s="1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7"/>
      <c r="AA174" s="8"/>
    </row>
    <row r="175" spans="1:27" ht="19.95" customHeight="1">
      <c r="A175" s="8"/>
      <c r="B175" s="1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7"/>
      <c r="AA175" s="8"/>
    </row>
    <row r="176" spans="1:27" ht="19.95" customHeight="1">
      <c r="A176" s="8"/>
      <c r="B176" s="1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7"/>
      <c r="AA176" s="8"/>
    </row>
    <row r="177" spans="1:27" ht="19.95" customHeight="1">
      <c r="A177" s="8"/>
      <c r="B177" s="1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7"/>
      <c r="AA177" s="8"/>
    </row>
    <row r="178" spans="1:27" ht="19.95" customHeight="1">
      <c r="A178" s="8"/>
      <c r="B178" s="1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7"/>
      <c r="AA178" s="8"/>
    </row>
    <row r="179" spans="1:27" ht="19.95" customHeight="1">
      <c r="A179" s="8"/>
      <c r="B179" s="1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7"/>
      <c r="AA179" s="8"/>
    </row>
    <row r="180" spans="1:27" ht="19.95" customHeight="1">
      <c r="A180" s="8"/>
      <c r="B180" s="1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7"/>
      <c r="AA180" s="8"/>
    </row>
    <row r="181" spans="1:27" ht="19.95" customHeight="1">
      <c r="A181" s="8"/>
      <c r="B181" s="1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7"/>
      <c r="AA181" s="8"/>
    </row>
    <row r="182" spans="1:27" ht="19.95" customHeight="1">
      <c r="A182" s="8"/>
      <c r="B182" s="1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7"/>
      <c r="AA182" s="8"/>
    </row>
    <row r="183" spans="1:27" ht="19.95" customHeight="1">
      <c r="A183" s="8"/>
      <c r="B183" s="1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7"/>
      <c r="AA183" s="8"/>
    </row>
    <row r="184" spans="1:27" ht="19.95" customHeight="1">
      <c r="A184" s="8"/>
      <c r="B184" s="1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7"/>
      <c r="AA184" s="8"/>
    </row>
    <row r="185" spans="1:27" ht="19.95" customHeight="1">
      <c r="A185" s="8"/>
      <c r="B185" s="1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7"/>
      <c r="AA185" s="8"/>
    </row>
    <row r="186" spans="1:27" ht="19.95" customHeight="1">
      <c r="A186" s="8"/>
      <c r="B186" s="1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7"/>
      <c r="AA186" s="8"/>
    </row>
    <row r="187" spans="1:27" ht="19.95" customHeight="1">
      <c r="A187" s="8"/>
      <c r="B187" s="1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7"/>
      <c r="AA187" s="8"/>
    </row>
    <row r="188" spans="1:27" ht="19.95" customHeight="1">
      <c r="A188" s="8"/>
      <c r="B188" s="1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7"/>
      <c r="AA188" s="8"/>
    </row>
    <row r="189" spans="1:27" ht="19.95" customHeight="1">
      <c r="A189" s="8"/>
      <c r="B189" s="1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7"/>
      <c r="AA189" s="8"/>
    </row>
    <row r="190" spans="1:27" ht="19.95" customHeight="1">
      <c r="A190" s="8"/>
      <c r="B190" s="1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7"/>
      <c r="AA190" s="8"/>
    </row>
    <row r="191" spans="1:27" ht="19.95" customHeight="1">
      <c r="A191" s="8"/>
      <c r="B191" s="1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7"/>
      <c r="AA191" s="8"/>
    </row>
    <row r="192" spans="1:27" ht="19.95" customHeight="1">
      <c r="A192" s="8"/>
      <c r="B192" s="1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7"/>
      <c r="AA192" s="8"/>
    </row>
    <row r="193" spans="1:27" ht="19.95" customHeight="1">
      <c r="A193" s="8"/>
      <c r="B193" s="1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7"/>
      <c r="AA193" s="8"/>
    </row>
    <row r="194" spans="1:27" ht="19.95" customHeight="1">
      <c r="A194" s="8"/>
      <c r="B194" s="1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7"/>
      <c r="AA194" s="8"/>
    </row>
    <row r="195" spans="1:27" ht="19.95" customHeight="1">
      <c r="A195" s="8"/>
      <c r="B195" s="1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7"/>
      <c r="AA195" s="8"/>
    </row>
    <row r="196" spans="1:27" ht="19.95" customHeight="1">
      <c r="A196" s="8"/>
      <c r="B196" s="1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7"/>
      <c r="AA196" s="8"/>
    </row>
    <row r="197" spans="1:27" ht="19.95" customHeight="1">
      <c r="A197" s="8"/>
      <c r="B197" s="1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7"/>
      <c r="AA197" s="8"/>
    </row>
    <row r="198" spans="1:27" ht="19.95" customHeight="1">
      <c r="A198" s="8"/>
      <c r="B198" s="1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7"/>
      <c r="AA198" s="8"/>
    </row>
    <row r="199" spans="1:27" ht="19.95" customHeight="1">
      <c r="A199" s="8"/>
      <c r="B199" s="1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7"/>
      <c r="AA199" s="8"/>
    </row>
    <row r="200" spans="1:27" ht="19.95" customHeight="1">
      <c r="A200" s="8"/>
      <c r="B200" s="1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7"/>
      <c r="AA200" s="8"/>
    </row>
    <row r="201" spans="1:27" ht="19.95" customHeight="1">
      <c r="A201" s="8"/>
      <c r="B201" s="1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7"/>
      <c r="AA201" s="8"/>
    </row>
    <row r="202" spans="1:27" ht="19.95" customHeight="1">
      <c r="A202" s="8"/>
      <c r="B202" s="1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7"/>
      <c r="AA202" s="8"/>
    </row>
    <row r="203" spans="1:27" ht="19.95" customHeight="1">
      <c r="A203" s="8"/>
      <c r="B203" s="1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7"/>
      <c r="AA203" s="8"/>
    </row>
    <row r="204" spans="1:27" ht="19.95" customHeight="1">
      <c r="A204" s="8"/>
      <c r="B204" s="1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7"/>
      <c r="AA204" s="8"/>
    </row>
    <row r="205" spans="1:27" ht="19.95" customHeight="1">
      <c r="A205" s="8"/>
      <c r="B205" s="1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7"/>
      <c r="AA205" s="8"/>
    </row>
    <row r="206" spans="1:27" ht="19.95" customHeight="1">
      <c r="A206" s="8"/>
      <c r="B206" s="1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7"/>
      <c r="AA206" s="8"/>
    </row>
    <row r="207" spans="1:27" ht="19.95" customHeight="1">
      <c r="A207" s="8"/>
      <c r="B207" s="1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7"/>
      <c r="AA207" s="8"/>
    </row>
    <row r="208" spans="1:27" ht="19.95" customHeight="1">
      <c r="A208" s="8"/>
      <c r="B208" s="1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7"/>
      <c r="AA208" s="8"/>
    </row>
    <row r="209" spans="1:27" ht="19.95" customHeight="1">
      <c r="A209" s="8"/>
      <c r="B209" s="1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7"/>
      <c r="AA209" s="8"/>
    </row>
    <row r="210" spans="1:27" ht="19.95" customHeight="1">
      <c r="A210" s="8"/>
      <c r="B210" s="1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7"/>
      <c r="AA210" s="8"/>
    </row>
    <row r="211" spans="1:27" ht="19.95" customHeight="1">
      <c r="A211" s="8"/>
      <c r="B211" s="1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7"/>
      <c r="AA211" s="8"/>
    </row>
    <row r="212" spans="1:27" ht="19.95" customHeight="1">
      <c r="A212" s="8"/>
      <c r="B212" s="1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7"/>
      <c r="AA212" s="8"/>
    </row>
    <row r="213" spans="1:27" ht="19.95" customHeight="1">
      <c r="A213" s="8"/>
      <c r="B213" s="1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7"/>
      <c r="AA213" s="8"/>
    </row>
    <row r="214" spans="1:27" ht="19.95" customHeight="1">
      <c r="A214" s="8"/>
      <c r="B214" s="1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7"/>
      <c r="AA214" s="8"/>
    </row>
    <row r="215" spans="1:27" ht="19.95" customHeight="1">
      <c r="A215" s="8"/>
      <c r="B215" s="1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7"/>
      <c r="AA215" s="8"/>
    </row>
    <row r="216" spans="1:27" ht="19.95" customHeight="1">
      <c r="A216" s="8"/>
      <c r="B216" s="1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7"/>
      <c r="AA216" s="8"/>
    </row>
    <row r="217" spans="1:27" ht="19.95" customHeight="1">
      <c r="A217" s="8"/>
      <c r="B217" s="1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7"/>
      <c r="AA217" s="8"/>
    </row>
    <row r="218" spans="1:27" ht="19.95" customHeight="1">
      <c r="A218" s="8"/>
      <c r="B218" s="1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7"/>
      <c r="AA218" s="8"/>
    </row>
    <row r="219" spans="1:27" ht="19.95" customHeight="1">
      <c r="A219" s="8"/>
      <c r="B219" s="1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7"/>
      <c r="AA219" s="8"/>
    </row>
    <row r="220" spans="1:27" ht="19.95" customHeight="1">
      <c r="A220" s="8"/>
      <c r="B220" s="1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7"/>
      <c r="AA220" s="8"/>
    </row>
    <row r="221" spans="1:27" ht="19.95" customHeight="1">
      <c r="A221" s="8"/>
      <c r="B221" s="1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7"/>
      <c r="AA221" s="8"/>
    </row>
    <row r="222" spans="1:27" ht="19.95" customHeight="1">
      <c r="A222" s="8"/>
      <c r="B222" s="1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7"/>
      <c r="AA222" s="8"/>
    </row>
    <row r="223" spans="1:27" ht="19.95" customHeight="1">
      <c r="A223" s="8"/>
      <c r="B223" s="1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7"/>
      <c r="AA223" s="8"/>
    </row>
    <row r="224" spans="1:27" ht="19.95" customHeight="1">
      <c r="A224" s="8"/>
      <c r="B224" s="1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7"/>
      <c r="AA224" s="8"/>
    </row>
    <row r="225" spans="1:27" ht="19.95" customHeight="1">
      <c r="A225" s="8"/>
      <c r="B225" s="1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7"/>
      <c r="AA225" s="8"/>
    </row>
    <row r="226" spans="1:27" ht="19.95" customHeight="1">
      <c r="A226" s="8"/>
      <c r="B226" s="1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7"/>
      <c r="AA226" s="8"/>
    </row>
    <row r="227" spans="1:27" ht="19.95" customHeight="1">
      <c r="A227" s="8"/>
      <c r="B227" s="1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7"/>
      <c r="AA227" s="8"/>
    </row>
    <row r="228" spans="1:27" ht="19.95" customHeight="1">
      <c r="A228" s="8"/>
      <c r="B228" s="1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7"/>
      <c r="AA228" s="8"/>
    </row>
    <row r="229" spans="1:27" ht="19.95" customHeight="1">
      <c r="A229" s="8"/>
      <c r="B229" s="1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7"/>
      <c r="AA229" s="8"/>
    </row>
    <row r="230" spans="1:27" ht="19.95" customHeight="1">
      <c r="A230" s="8"/>
      <c r="B230" s="1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7"/>
      <c r="AA230" s="8"/>
    </row>
    <row r="231" spans="1:27" ht="19.95" customHeight="1">
      <c r="A231" s="8"/>
      <c r="B231" s="1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7"/>
      <c r="AA231" s="8"/>
    </row>
    <row r="232" spans="1:27" ht="19.95" customHeight="1">
      <c r="A232" s="8"/>
      <c r="B232" s="1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7"/>
      <c r="AA232" s="8"/>
    </row>
    <row r="233" spans="1:27" ht="19.95" customHeight="1">
      <c r="A233" s="8"/>
      <c r="B233" s="1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7"/>
      <c r="AA233" s="8"/>
    </row>
    <row r="234" spans="1:27" ht="19.95" customHeight="1">
      <c r="A234" s="8"/>
      <c r="B234" s="1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7"/>
      <c r="AA234" s="8"/>
    </row>
    <row r="235" spans="1:27" ht="19.95" customHeight="1">
      <c r="A235" s="8"/>
      <c r="B235" s="1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7"/>
      <c r="AA235" s="8"/>
    </row>
    <row r="236" spans="1:27" ht="19.95" customHeight="1">
      <c r="A236" s="8"/>
      <c r="B236" s="1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7"/>
      <c r="AA236" s="8"/>
    </row>
    <row r="237" spans="1:27" ht="19.95" customHeight="1">
      <c r="A237" s="8"/>
      <c r="B237" s="1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7"/>
      <c r="AA237" s="8"/>
    </row>
    <row r="238" spans="1:27" ht="19.95" customHeight="1">
      <c r="A238" s="8"/>
      <c r="B238" s="1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7"/>
      <c r="AA238" s="8"/>
    </row>
    <row r="239" spans="1:27" ht="19.95" customHeight="1">
      <c r="A239" s="8"/>
      <c r="B239" s="1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7"/>
      <c r="AA239" s="8"/>
    </row>
    <row r="240" spans="1:27" ht="19.95" customHeight="1">
      <c r="A240" s="8"/>
      <c r="B240" s="1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7"/>
      <c r="AA240" s="8"/>
    </row>
    <row r="241" spans="1:27" ht="19.95" customHeight="1">
      <c r="A241" s="8"/>
      <c r="B241" s="1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7"/>
      <c r="AA241" s="8"/>
    </row>
    <row r="242" spans="1:27" ht="19.95" customHeight="1">
      <c r="A242" s="8"/>
      <c r="B242" s="1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7"/>
      <c r="AA242" s="8"/>
    </row>
    <row r="243" spans="1:27" ht="19.95" customHeight="1">
      <c r="A243" s="8"/>
      <c r="B243" s="1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7"/>
      <c r="AA243" s="8"/>
    </row>
    <row r="244" spans="1:27" ht="19.95" customHeight="1">
      <c r="A244" s="8"/>
      <c r="B244" s="1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7"/>
      <c r="AA244" s="8"/>
    </row>
    <row r="245" spans="1:27" ht="19.95" customHeight="1">
      <c r="A245" s="8"/>
      <c r="B245" s="1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7"/>
      <c r="AA245" s="8"/>
    </row>
    <row r="246" spans="1:27" ht="19.95" customHeight="1">
      <c r="A246" s="8"/>
      <c r="B246" s="1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7"/>
      <c r="AA246" s="8"/>
    </row>
    <row r="247" spans="1:27" ht="19.95" customHeight="1">
      <c r="A247" s="8"/>
      <c r="B247" s="1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7"/>
      <c r="AA247" s="8"/>
    </row>
    <row r="248" spans="1:27" ht="19.95" customHeight="1">
      <c r="A248" s="8"/>
      <c r="B248" s="1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7"/>
      <c r="AA248" s="8"/>
    </row>
    <row r="249" spans="1:27" ht="19.95" customHeight="1">
      <c r="A249" s="8"/>
      <c r="B249" s="1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7"/>
      <c r="AA249" s="8"/>
    </row>
    <row r="250" spans="1:27" ht="19.95" customHeight="1">
      <c r="A250" s="8"/>
      <c r="B250" s="1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7"/>
      <c r="AA250" s="8"/>
    </row>
    <row r="251" spans="1:27" ht="19.95" customHeight="1">
      <c r="A251" s="8"/>
      <c r="B251" s="1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7"/>
      <c r="AA251" s="8"/>
    </row>
    <row r="252" spans="1:27" ht="19.95" customHeight="1">
      <c r="A252" s="8"/>
      <c r="B252" s="1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7"/>
      <c r="AA252" s="8"/>
    </row>
    <row r="253" spans="1:27" ht="19.95" customHeight="1">
      <c r="A253" s="8"/>
      <c r="B253" s="1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7"/>
      <c r="AA253" s="8"/>
    </row>
    <row r="254" spans="1:27" ht="19.95" customHeight="1">
      <c r="A254" s="8"/>
      <c r="B254" s="1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7"/>
      <c r="AA254" s="8"/>
    </row>
    <row r="255" spans="1:27" ht="19.95" customHeight="1">
      <c r="A255" s="8"/>
      <c r="B255" s="1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7"/>
      <c r="AA255" s="8"/>
    </row>
  </sheetData>
  <mergeCells count="1">
    <mergeCell ref="A1:AA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6B66-A957-4CF1-9C65-61BF338A6295}">
  <dimension ref="A1:N27"/>
  <sheetViews>
    <sheetView workbookViewId="0">
      <selection activeCell="D10" sqref="D10"/>
    </sheetView>
  </sheetViews>
  <sheetFormatPr defaultRowHeight="13.2"/>
  <cols>
    <col min="2" max="9" width="11.33203125" bestFit="1" customWidth="1"/>
  </cols>
  <sheetData>
    <row r="1" spans="1:14">
      <c r="A1" t="s">
        <v>77</v>
      </c>
    </row>
    <row r="2" spans="1:14">
      <c r="B2" t="s">
        <v>75</v>
      </c>
      <c r="C2" t="s">
        <v>75</v>
      </c>
      <c r="D2" t="s">
        <v>76</v>
      </c>
      <c r="E2" t="s">
        <v>76</v>
      </c>
      <c r="F2" t="s">
        <v>75</v>
      </c>
      <c r="G2" t="s">
        <v>75</v>
      </c>
      <c r="H2" t="s">
        <v>76</v>
      </c>
      <c r="I2" t="s">
        <v>76</v>
      </c>
      <c r="N2" s="19"/>
    </row>
    <row r="3" spans="1:14">
      <c r="B3" t="s">
        <v>79</v>
      </c>
      <c r="C3" t="s">
        <v>80</v>
      </c>
      <c r="D3" t="s">
        <v>79</v>
      </c>
      <c r="E3" t="s">
        <v>80</v>
      </c>
      <c r="F3" t="s">
        <v>79</v>
      </c>
      <c r="G3" t="s">
        <v>80</v>
      </c>
      <c r="H3" t="s">
        <v>79</v>
      </c>
      <c r="I3" t="s">
        <v>80</v>
      </c>
      <c r="N3" s="19"/>
    </row>
    <row r="4" spans="1:14">
      <c r="B4" t="s">
        <v>78</v>
      </c>
      <c r="C4" t="s">
        <v>78</v>
      </c>
      <c r="D4" t="s">
        <v>78</v>
      </c>
      <c r="E4" t="s">
        <v>78</v>
      </c>
      <c r="F4" t="s">
        <v>82</v>
      </c>
      <c r="G4" t="s">
        <v>82</v>
      </c>
      <c r="H4" t="s">
        <v>82</v>
      </c>
      <c r="I4" t="s">
        <v>82</v>
      </c>
    </row>
    <row r="5" spans="1:14">
      <c r="A5">
        <v>1</v>
      </c>
      <c r="B5" s="20">
        <f>RESULTS!B7</f>
        <v>0.32233619689941401</v>
      </c>
      <c r="C5" s="20">
        <f>RESULTS!B72</f>
        <v>0.84811496734619096</v>
      </c>
      <c r="D5" s="20">
        <f>RESULTS!C7</f>
        <v>0.36156082153320301</v>
      </c>
      <c r="E5" s="20">
        <f>RESULTS!C72</f>
        <v>0.84147286415100098</v>
      </c>
      <c r="F5" s="20">
        <f>RESULTS!Z7</f>
        <v>0.93085408210754395</v>
      </c>
      <c r="G5" s="20">
        <f>RESULTS!Z72</f>
        <v>2.7674040794372599</v>
      </c>
      <c r="H5" s="20">
        <f>RESULTS!Y7</f>
        <v>2.2450871467590301</v>
      </c>
      <c r="I5" s="20">
        <f>RESULTS!Y72</f>
        <v>5.7123341560363796</v>
      </c>
    </row>
    <row r="6" spans="1:14">
      <c r="A6">
        <v>2</v>
      </c>
      <c r="B6" s="20">
        <f>RESULTS!B8</f>
        <v>0.31631088256835899</v>
      </c>
      <c r="C6" s="20">
        <f>RESULTS!B73</f>
        <v>0.67576885223388705</v>
      </c>
      <c r="D6" s="20">
        <f>RESULTS!C8</f>
        <v>0.36437106132507302</v>
      </c>
      <c r="E6" s="20">
        <f>RESULTS!C73</f>
        <v>0.74235796928405795</v>
      </c>
      <c r="F6" s="20">
        <f>RESULTS!Z8</f>
        <v>0.84003567695617698</v>
      </c>
      <c r="G6" s="20">
        <f>RESULTS!Z73</f>
        <v>2.8176829814910902</v>
      </c>
      <c r="H6" s="20">
        <f>RESULTS!Y8</f>
        <v>2.0994639396667498</v>
      </c>
      <c r="I6" s="20">
        <f>RESULTS!Y73</f>
        <v>5.8329961299896196</v>
      </c>
    </row>
    <row r="7" spans="1:14">
      <c r="A7">
        <v>3</v>
      </c>
      <c r="B7" s="20">
        <f>RESULTS!B9</f>
        <v>0.31699419021606401</v>
      </c>
      <c r="C7" s="20">
        <f>RESULTS!B74</f>
        <v>0.69715976715087902</v>
      </c>
      <c r="D7" s="20">
        <f>RESULTS!C9</f>
        <v>0.36489701271057101</v>
      </c>
      <c r="E7" s="20">
        <f>RESULTS!C74</f>
        <v>0.73850512504577603</v>
      </c>
      <c r="F7" s="20">
        <f>RESULTS!Z9</f>
        <v>0.81713175773620605</v>
      </c>
      <c r="G7" s="20">
        <f>RESULTS!Z74</f>
        <v>2.7608020305633501</v>
      </c>
      <c r="H7" s="20">
        <f>RESULTS!Y9</f>
        <v>1.93116903305054</v>
      </c>
      <c r="I7" s="20">
        <f>RESULTS!Y74</f>
        <v>5.6259620189666801</v>
      </c>
    </row>
    <row r="8" spans="1:14">
      <c r="A8">
        <v>4</v>
      </c>
      <c r="B8" s="20">
        <f>RESULTS!B10</f>
        <v>0.31182479858398399</v>
      </c>
      <c r="C8" s="20">
        <f>RESULTS!B75</f>
        <v>0.67136001586914096</v>
      </c>
      <c r="D8" s="20">
        <f>RESULTS!C10</f>
        <v>0.36478996276855502</v>
      </c>
      <c r="E8" s="20">
        <f>RESULTS!C75</f>
        <v>0.75494766235351596</v>
      </c>
      <c r="F8" s="20">
        <f>RESULTS!Z10</f>
        <v>0.81175398826599099</v>
      </c>
      <c r="G8" s="20">
        <f>RESULTS!Z75</f>
        <v>2.7569608688354501</v>
      </c>
      <c r="H8" s="20">
        <f>RESULTS!Y10</f>
        <v>1.7990851402282699</v>
      </c>
      <c r="I8" s="20">
        <f>RESULTS!Y75</f>
        <v>5.6397502422332799</v>
      </c>
    </row>
    <row r="9" spans="1:14">
      <c r="A9">
        <v>5</v>
      </c>
      <c r="B9" s="20">
        <f>RESULTS!B11</f>
        <v>0.31072402000427202</v>
      </c>
      <c r="C9" s="20">
        <f>RESULTS!B76</f>
        <v>0.67367291450500499</v>
      </c>
      <c r="D9" s="20">
        <f>RESULTS!C11</f>
        <v>0.34864687919616699</v>
      </c>
      <c r="E9" s="20">
        <f>RESULTS!C76</f>
        <v>0.72939968109130904</v>
      </c>
      <c r="F9" s="20">
        <f>RESULTS!Z11</f>
        <v>0.82955694198608398</v>
      </c>
      <c r="G9" s="20">
        <f>RESULTS!Z76</f>
        <v>2.7551932334899898</v>
      </c>
      <c r="H9" s="20">
        <f>RESULTS!Y11</f>
        <v>1.8121519088745099</v>
      </c>
      <c r="I9" s="20">
        <f>RESULTS!Y76</f>
        <v>5.6351759433746302</v>
      </c>
    </row>
    <row r="10" spans="1:14">
      <c r="A10" t="s">
        <v>81</v>
      </c>
      <c r="B10" s="25">
        <f>RESULTS!B12</f>
        <v>0.31563801765441857</v>
      </c>
      <c r="C10" s="25">
        <f>RESULTS!B77</f>
        <v>0.71321530342102057</v>
      </c>
      <c r="D10" s="25">
        <f>RESULTS!C12</f>
        <v>0.36085314750671377</v>
      </c>
      <c r="E10" s="25">
        <f>RESULTS!C77</f>
        <v>0.76133666038513204</v>
      </c>
      <c r="F10" s="25">
        <f>RESULTS!Z12</f>
        <v>0.84586648941040044</v>
      </c>
      <c r="G10" s="25">
        <f>RESULTS!Z77</f>
        <v>2.7716086387634276</v>
      </c>
      <c r="H10" s="25">
        <f>RESULTS!Y12</f>
        <v>1.97739143371582</v>
      </c>
      <c r="I10" s="25">
        <f>RESULTS!Y77</f>
        <v>5.6892436981201175</v>
      </c>
    </row>
    <row r="11" spans="1:14" s="36" customFormat="1">
      <c r="A11" s="36" t="s">
        <v>100</v>
      </c>
      <c r="B11" s="37">
        <f>RESULTS!B14</f>
        <v>4.632644196143048E-3</v>
      </c>
      <c r="C11" s="37">
        <f>RESULTS!B79</f>
        <v>7.6114062261503426E-2</v>
      </c>
      <c r="D11" s="37">
        <f>RESULTS!C14</f>
        <v>6.9591821793775184E-3</v>
      </c>
      <c r="E11" s="37">
        <f>RESULTS!C79</f>
        <v>4.5727647047845113E-2</v>
      </c>
      <c r="F11" s="37">
        <f>RESULTS!Z14</f>
        <v>4.8765351844914442E-2</v>
      </c>
      <c r="G11" s="37">
        <f>RESULTS!Z79</f>
        <v>2.6178850489744266E-2</v>
      </c>
      <c r="H11" s="37">
        <f>RESULTS!Y14</f>
        <v>0.1922215106856959</v>
      </c>
      <c r="I11" s="37">
        <f>RESULTS!Y79</f>
        <v>8.7429151474919392E-2</v>
      </c>
    </row>
    <row r="12" spans="1:14">
      <c r="A12" t="s">
        <v>101</v>
      </c>
      <c r="B12" s="25">
        <f>RESULTS!B15</f>
        <v>0.31072402000427202</v>
      </c>
      <c r="C12" s="25">
        <f>RESULTS!B80</f>
        <v>0.67136001586914096</v>
      </c>
      <c r="D12" s="25">
        <f>RESULTS!C15</f>
        <v>0.34864687919616699</v>
      </c>
      <c r="E12" s="25">
        <f>RESULTS!C80</f>
        <v>0.72939968109130904</v>
      </c>
      <c r="F12" s="25">
        <f>RESULTS!Z15</f>
        <v>0.81175398826599099</v>
      </c>
      <c r="G12" s="25">
        <f>RESULTS!Z80</f>
        <v>2.7551932334899898</v>
      </c>
      <c r="H12" s="25">
        <f>RESULTS!Y15</f>
        <v>1.7990851402282699</v>
      </c>
      <c r="I12" s="25">
        <f>RESULTS!Y80</f>
        <v>5.6259620189666801</v>
      </c>
    </row>
    <row r="13" spans="1:14">
      <c r="A13" t="s">
        <v>102</v>
      </c>
      <c r="B13" s="25">
        <f>RESULTS!B16</f>
        <v>0.32233619689941401</v>
      </c>
      <c r="C13" s="25">
        <f>RESULTS!B81</f>
        <v>0.84811496734619096</v>
      </c>
      <c r="D13" s="25">
        <f>RESULTS!C16</f>
        <v>0.36489701271057101</v>
      </c>
      <c r="E13" s="25">
        <f>RESULTS!C81</f>
        <v>0.84147286415100098</v>
      </c>
      <c r="F13" s="25">
        <f>RESULTS!Z16</f>
        <v>0.93085408210754395</v>
      </c>
      <c r="G13" s="25">
        <f>RESULTS!Z81</f>
        <v>2.8176829814910902</v>
      </c>
      <c r="H13" s="25">
        <f>RESULTS!Y16</f>
        <v>2.2450871467590301</v>
      </c>
      <c r="I13" s="25">
        <f>RESULTS!Y81</f>
        <v>5.8329961299896196</v>
      </c>
    </row>
    <row r="15" spans="1:14">
      <c r="A15" t="s">
        <v>83</v>
      </c>
    </row>
    <row r="16" spans="1:14">
      <c r="B16" t="s">
        <v>75</v>
      </c>
      <c r="C16" t="s">
        <v>75</v>
      </c>
      <c r="D16" t="s">
        <v>76</v>
      </c>
      <c r="E16" t="s">
        <v>76</v>
      </c>
      <c r="F16" t="s">
        <v>75</v>
      </c>
      <c r="G16" t="s">
        <v>75</v>
      </c>
      <c r="H16" t="s">
        <v>76</v>
      </c>
      <c r="I16" t="s">
        <v>76</v>
      </c>
    </row>
    <row r="17" spans="1:9">
      <c r="B17" t="s">
        <v>79</v>
      </c>
      <c r="C17" t="s">
        <v>80</v>
      </c>
      <c r="D17" t="s">
        <v>79</v>
      </c>
      <c r="E17" t="s">
        <v>80</v>
      </c>
      <c r="F17" t="s">
        <v>79</v>
      </c>
      <c r="G17" t="s">
        <v>80</v>
      </c>
      <c r="H17" t="s">
        <v>79</v>
      </c>
      <c r="I17" t="s">
        <v>80</v>
      </c>
    </row>
    <row r="18" spans="1:9">
      <c r="B18" t="s">
        <v>78</v>
      </c>
      <c r="C18" t="s">
        <v>78</v>
      </c>
      <c r="D18" t="s">
        <v>78</v>
      </c>
      <c r="E18" t="s">
        <v>78</v>
      </c>
      <c r="F18" t="s">
        <v>82</v>
      </c>
      <c r="G18" t="s">
        <v>82</v>
      </c>
      <c r="H18" t="s">
        <v>82</v>
      </c>
      <c r="I18" t="s">
        <v>82</v>
      </c>
    </row>
    <row r="19" spans="1:9">
      <c r="A19">
        <v>1</v>
      </c>
      <c r="B19" s="20">
        <f>RESULTS!B22</f>
        <v>4.5697500705719003</v>
      </c>
      <c r="C19" s="20">
        <f>RESULTS!B87</f>
        <v>3.2386772632598899</v>
      </c>
      <c r="D19" s="20">
        <f>RESULTS!C22</f>
        <v>4.8409218788146999</v>
      </c>
      <c r="E19" s="20">
        <f>RESULTS!C87</f>
        <v>4.1187908649444598</v>
      </c>
      <c r="F19" s="20">
        <f>RESULTS!Z22</f>
        <v>11.578897953033399</v>
      </c>
      <c r="G19" s="20">
        <f>RESULTS!Z87</f>
        <v>6.7850599288940403</v>
      </c>
      <c r="H19" s="20">
        <f>RESULTS!Y22</f>
        <v>23.844670057296799</v>
      </c>
      <c r="I19" s="20">
        <f>RESULTS!Y87</f>
        <v>17.085994005203201</v>
      </c>
    </row>
    <row r="20" spans="1:9">
      <c r="A20">
        <v>2</v>
      </c>
      <c r="B20" s="20">
        <f>RESULTS!B23</f>
        <v>4.5719020366668701</v>
      </c>
      <c r="C20" s="20">
        <f>RESULTS!B88</f>
        <v>3.18339991569519</v>
      </c>
      <c r="D20" s="20">
        <f>RESULTS!C23</f>
        <v>4.9551160335540798</v>
      </c>
      <c r="E20" s="20">
        <f>RESULTS!C88</f>
        <v>3.75793409347534</v>
      </c>
      <c r="F20" s="20">
        <f>RESULTS!Z23</f>
        <v>11.536728143692001</v>
      </c>
      <c r="G20" s="20">
        <f>RESULTS!Z88</f>
        <v>6.7067182064056396</v>
      </c>
      <c r="H20" s="20">
        <f>RESULTS!Y23</f>
        <v>23.460900068283099</v>
      </c>
      <c r="I20" s="20">
        <f>RESULTS!Y88</f>
        <v>17.084600925445599</v>
      </c>
    </row>
    <row r="21" spans="1:9">
      <c r="A21">
        <v>3</v>
      </c>
      <c r="B21" s="20">
        <f>RESULTS!B24</f>
        <v>4.49078392982483</v>
      </c>
      <c r="C21" s="20">
        <f>RESULTS!B89</f>
        <v>3.1977398395538299</v>
      </c>
      <c r="D21" s="20">
        <f>RESULTS!C24</f>
        <v>4.8520598411560103</v>
      </c>
      <c r="E21" s="20">
        <f>RESULTS!C89</f>
        <v>3.3446791172027601</v>
      </c>
      <c r="F21" s="20">
        <f>RESULTS!Z24</f>
        <v>11.5390868186951</v>
      </c>
      <c r="G21" s="20">
        <f>RESULTS!Z89</f>
        <v>6.6806049346923801</v>
      </c>
      <c r="H21" s="20">
        <f>RESULTS!Y24</f>
        <v>23.9117770195007</v>
      </c>
      <c r="I21" s="20">
        <f>RESULTS!Y89</f>
        <v>17.1291520595551</v>
      </c>
    </row>
    <row r="22" spans="1:9">
      <c r="A22">
        <v>4</v>
      </c>
      <c r="B22" s="20">
        <f>RESULTS!B25</f>
        <v>4.4606411457061803</v>
      </c>
      <c r="C22" s="20">
        <f>RESULTS!B90</f>
        <v>3.15561819076538</v>
      </c>
      <c r="D22" s="20">
        <f>RESULTS!C25</f>
        <v>4.8964982032775897</v>
      </c>
      <c r="E22" s="20">
        <f>RESULTS!C90</f>
        <v>3.1861729621887198</v>
      </c>
      <c r="F22" s="20">
        <f>RESULTS!Z25</f>
        <v>11.735870838165299</v>
      </c>
      <c r="G22" s="20">
        <f>RESULTS!Z90</f>
        <v>6.8190369606018102</v>
      </c>
      <c r="H22" s="20">
        <f>RESULTS!Y25</f>
        <v>23.588453769683799</v>
      </c>
      <c r="I22" s="20">
        <f>RESULTS!Y90</f>
        <v>17.048248767852801</v>
      </c>
    </row>
    <row r="23" spans="1:9">
      <c r="A23">
        <v>5</v>
      </c>
      <c r="B23" s="20">
        <f>RESULTS!B26</f>
        <v>4.5917172431945801</v>
      </c>
      <c r="C23" s="20">
        <f>RESULTS!B91</f>
        <v>3.22095799446106</v>
      </c>
      <c r="D23" s="20">
        <f>RESULTS!C26</f>
        <v>4.9047389030456499</v>
      </c>
      <c r="E23" s="20">
        <f>RESULTS!C91</f>
        <v>3.1800282001495401</v>
      </c>
      <c r="F23" s="20">
        <f>RESULTS!Z26</f>
        <v>11.406731605529799</v>
      </c>
      <c r="G23" s="20">
        <f>RESULTS!Z91</f>
        <v>6.6396842002868697</v>
      </c>
      <c r="H23" s="20">
        <f>RESULTS!Y26</f>
        <v>24.1208882331848</v>
      </c>
      <c r="I23" s="20">
        <f>RESULTS!Y91</f>
        <v>17.143666982650799</v>
      </c>
    </row>
    <row r="24" spans="1:9">
      <c r="A24" t="s">
        <v>81</v>
      </c>
      <c r="B24" s="25">
        <f>RESULTS!B27</f>
        <v>4.5369588851928722</v>
      </c>
      <c r="C24" s="25">
        <f>RESULTS!B92</f>
        <v>3.1992786407470697</v>
      </c>
      <c r="D24" s="25">
        <f>RESULTS!C27</f>
        <v>4.8898669719696066</v>
      </c>
      <c r="E24" s="25">
        <f>RESULTS!C92</f>
        <v>3.5175210475921639</v>
      </c>
      <c r="F24" s="25">
        <f>RESULTS!Z27</f>
        <v>11.559463071823121</v>
      </c>
      <c r="G24" s="25">
        <f>RESULTS!Z92</f>
        <v>6.7262208461761475</v>
      </c>
      <c r="H24" s="25">
        <f>RESULTS!Y27</f>
        <v>23.785337829589839</v>
      </c>
      <c r="I24" s="25">
        <f>RESULTS!Y92</f>
        <v>17.098332548141499</v>
      </c>
    </row>
    <row r="25" spans="1:9" s="36" customFormat="1">
      <c r="A25" s="36" t="s">
        <v>100</v>
      </c>
      <c r="B25" s="37">
        <f>RESULTS!B29</f>
        <v>5.7557117952819301E-2</v>
      </c>
      <c r="C25" s="37">
        <f>RESULTS!B94</f>
        <v>3.2337990600658652E-2</v>
      </c>
      <c r="D25" s="37">
        <f>RESULTS!C29</f>
        <v>4.5682570211580169E-2</v>
      </c>
      <c r="E25" s="37">
        <f>RESULTS!C94</f>
        <v>0.41014970881553947</v>
      </c>
      <c r="F25" s="37">
        <f>RESULTS!Z29</f>
        <v>0.11806394885640005</v>
      </c>
      <c r="G25" s="37">
        <f>RESULTS!Z94</f>
        <v>7.4206846335833632E-2</v>
      </c>
      <c r="H25" s="37">
        <f>RESULTS!Y29</f>
        <v>0.26273772537910378</v>
      </c>
      <c r="I25" s="37">
        <f>RESULTS!Y94</f>
        <v>3.8256487645105641E-2</v>
      </c>
    </row>
    <row r="26" spans="1:9">
      <c r="A26" t="s">
        <v>101</v>
      </c>
      <c r="B26" s="25">
        <f>RESULTS!B30</f>
        <v>4.4606411457061803</v>
      </c>
      <c r="C26" s="25">
        <f>RESULTS!B95</f>
        <v>3.15561819076538</v>
      </c>
      <c r="D26" s="25">
        <f>RESULTS!C30</f>
        <v>4.8409218788146999</v>
      </c>
      <c r="E26" s="25">
        <f>RESULTS!C95</f>
        <v>3.1800282001495401</v>
      </c>
      <c r="F26" s="25">
        <f>RESULTS!Z30</f>
        <v>11.406731605529799</v>
      </c>
      <c r="G26" s="25">
        <f>RESULTS!Z95</f>
        <v>6.6396842002868697</v>
      </c>
      <c r="H26" s="25">
        <f>RESULTS!Y30</f>
        <v>23.460900068283099</v>
      </c>
      <c r="I26" s="25">
        <f>RESULTS!Y95</f>
        <v>17.048248767852801</v>
      </c>
    </row>
    <row r="27" spans="1:9">
      <c r="A27" t="s">
        <v>102</v>
      </c>
      <c r="B27" s="25">
        <f>RESULTS!B31</f>
        <v>4.5917172431945801</v>
      </c>
      <c r="C27" s="25">
        <f>RESULTS!B96</f>
        <v>3.2386772632598899</v>
      </c>
      <c r="D27" s="25">
        <f>RESULTS!C31</f>
        <v>4.9551160335540798</v>
      </c>
      <c r="E27" s="25">
        <f>RESULTS!C96</f>
        <v>4.1187908649444598</v>
      </c>
      <c r="F27" s="25">
        <f>RESULTS!Z31</f>
        <v>11.735870838165299</v>
      </c>
      <c r="G27" s="25">
        <f>RESULTS!Z96</f>
        <v>6.8190369606018102</v>
      </c>
      <c r="H27" s="25">
        <f>RESULTS!Y31</f>
        <v>24.1208882331848</v>
      </c>
      <c r="I27" s="25">
        <f>RESULTS!Y96</f>
        <v>17.143666982650799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E422-ECAB-4870-93CE-25645D1B9211}">
  <dimension ref="A3:L19"/>
  <sheetViews>
    <sheetView topLeftCell="A4" zoomScale="120" zoomScaleNormal="120" workbookViewId="0">
      <selection activeCell="V41" sqref="V41"/>
    </sheetView>
  </sheetViews>
  <sheetFormatPr defaultRowHeight="13.2"/>
  <cols>
    <col min="1" max="1" width="8.77734375" customWidth="1"/>
    <col min="2" max="2" width="11.33203125" bestFit="1" customWidth="1"/>
  </cols>
  <sheetData>
    <row r="3" spans="1:12">
      <c r="A3" t="s">
        <v>85</v>
      </c>
    </row>
    <row r="4" spans="1:12">
      <c r="A4" s="19" t="s">
        <v>84</v>
      </c>
      <c r="B4" s="19">
        <v>0</v>
      </c>
      <c r="C4" s="19">
        <v>10</v>
      </c>
      <c r="D4" s="19">
        <v>20</v>
      </c>
      <c r="E4" s="19">
        <v>30</v>
      </c>
      <c r="F4" s="19">
        <v>40</v>
      </c>
      <c r="G4" s="19">
        <v>50</v>
      </c>
      <c r="H4" s="19">
        <v>60</v>
      </c>
      <c r="I4" s="19">
        <v>70</v>
      </c>
      <c r="J4" s="19">
        <v>80</v>
      </c>
      <c r="K4" s="19">
        <v>90</v>
      </c>
      <c r="L4" s="19">
        <v>98.66</v>
      </c>
    </row>
    <row r="5" spans="1:12">
      <c r="A5" t="s">
        <v>79</v>
      </c>
      <c r="B5" s="20">
        <f>RESULTS!O12</f>
        <v>1.8789812564849862</v>
      </c>
      <c r="C5" s="20">
        <f>RESULTS!P12</f>
        <v>1.6811819553375262</v>
      </c>
      <c r="D5" s="20">
        <f>RESULTS!Q12</f>
        <v>1.8815799236297621</v>
      </c>
      <c r="E5" s="20">
        <f>RESULTS!R12</f>
        <v>1.9089428901672381</v>
      </c>
      <c r="F5" s="20">
        <f>RESULTS!S12</f>
        <v>1.9543639659881582</v>
      </c>
      <c r="G5" s="20">
        <f>RESULTS!T12</f>
        <v>2.0002378463745139</v>
      </c>
      <c r="H5" s="20">
        <f>RESULTS!U12</f>
        <v>1.878424549102786</v>
      </c>
      <c r="I5" s="20">
        <f>RESULTS!V12</f>
        <v>2.0402544021606439</v>
      </c>
      <c r="J5" s="20">
        <f>RESULTS!W12</f>
        <v>2.0659751415252701</v>
      </c>
      <c r="K5" s="20">
        <f>RESULTS!X12</f>
        <v>2.3212345123291001</v>
      </c>
      <c r="L5" s="20">
        <f>RESULTS!Y12</f>
        <v>1.97739143371582</v>
      </c>
    </row>
    <row r="6" spans="1:12" s="36" customFormat="1">
      <c r="A6" s="36" t="s">
        <v>103</v>
      </c>
      <c r="B6" s="41">
        <f>RESULTS!O13</f>
        <v>0.16225244455105933</v>
      </c>
      <c r="C6" s="41">
        <f>RESULTS!P13</f>
        <v>2.7653480710338758E-2</v>
      </c>
      <c r="D6" s="41">
        <f>RESULTS!Q13</f>
        <v>0.26679881904524932</v>
      </c>
      <c r="E6" s="41">
        <f>RESULTS!R13</f>
        <v>0.21217418153584774</v>
      </c>
      <c r="F6" s="41">
        <f>RESULTS!S13</f>
        <v>0.10910565354888169</v>
      </c>
      <c r="G6" s="41">
        <f>RESULTS!T13</f>
        <v>0.14832582319395363</v>
      </c>
      <c r="H6" s="41">
        <f>RESULTS!U13</f>
        <v>5.4416612667686957E-2</v>
      </c>
      <c r="I6" s="41">
        <f>RESULTS!V13</f>
        <v>0.27915702771116796</v>
      </c>
      <c r="J6" s="41">
        <f>RESULTS!W13</f>
        <v>0.20134326214339235</v>
      </c>
      <c r="K6" s="41">
        <f>RESULTS!X13</f>
        <v>0.57829890538518269</v>
      </c>
      <c r="L6" s="41">
        <f>RESULTS!Y13</f>
        <v>0.23867452949876874</v>
      </c>
    </row>
    <row r="7" spans="1:12">
      <c r="A7" t="s">
        <v>80</v>
      </c>
      <c r="B7" s="20">
        <f>RESULTS!O77</f>
        <v>4.68902988433838</v>
      </c>
      <c r="C7" s="20">
        <f>RESULTS!P77</f>
        <v>4.6398799896240241</v>
      </c>
      <c r="D7" s="20">
        <f>RESULTS!Q77</f>
        <v>4.6847342491149897</v>
      </c>
      <c r="E7" s="20">
        <f>RESULTS!R77</f>
        <v>4.7981654644012455</v>
      </c>
      <c r="F7" s="20">
        <f>RESULTS!S77</f>
        <v>4.9018929481506364</v>
      </c>
      <c r="G7" s="20">
        <f>RESULTS!T77</f>
        <v>5.0097172260284406</v>
      </c>
      <c r="H7" s="20">
        <f>RESULTS!U77</f>
        <v>5.2976587772369381</v>
      </c>
      <c r="I7" s="20">
        <f>RESULTS!V77</f>
        <v>5.2266609668731681</v>
      </c>
      <c r="J7" s="20">
        <f>RESULTS!W77</f>
        <v>5.417521905899048</v>
      </c>
      <c r="K7" s="20">
        <f>RESULTS!X77</f>
        <v>5.5564671516418453</v>
      </c>
      <c r="L7" s="20">
        <f>RESULTS!Y77</f>
        <v>5.6892436981201175</v>
      </c>
    </row>
    <row r="8" spans="1:12" s="36" customFormat="1">
      <c r="A8" s="36" t="s">
        <v>103</v>
      </c>
      <c r="B8" s="41">
        <f>RESULTS!O78</f>
        <v>6.5167511135767756E-2</v>
      </c>
      <c r="C8" s="41">
        <f>RESULTS!P78</f>
        <v>9.3920934543501464E-2</v>
      </c>
      <c r="D8" s="41">
        <f>RESULTS!Q78</f>
        <v>5.2736213653793572E-2</v>
      </c>
      <c r="E8" s="41">
        <f>RESULTS!R78</f>
        <v>5.802544009718056E-2</v>
      </c>
      <c r="F8" s="41">
        <f>RESULTS!S78</f>
        <v>5.6234901596298723E-2</v>
      </c>
      <c r="G8" s="41">
        <f>RESULTS!T78</f>
        <v>8.714322347201052E-2</v>
      </c>
      <c r="H8" s="41">
        <f>RESULTS!U78</f>
        <v>0.53185608501270776</v>
      </c>
      <c r="I8" s="41">
        <f>RESULTS!V78</f>
        <v>7.1510323210989518E-2</v>
      </c>
      <c r="J8" s="41">
        <f>RESULTS!W78</f>
        <v>5.6322002929347137E-2</v>
      </c>
      <c r="K8" s="41">
        <f>RESULTS!X78</f>
        <v>3.532488982638185E-2</v>
      </c>
      <c r="L8" s="41">
        <f>RESULTS!Y78</f>
        <v>0.10855762977991093</v>
      </c>
    </row>
    <row r="14" spans="1:12">
      <c r="A14" t="s">
        <v>83</v>
      </c>
    </row>
    <row r="15" spans="1:12">
      <c r="A15" s="19" t="s">
        <v>84</v>
      </c>
      <c r="B15" s="19">
        <v>0</v>
      </c>
      <c r="C15" s="19">
        <v>10</v>
      </c>
      <c r="D15" s="19">
        <v>20</v>
      </c>
      <c r="E15" s="19">
        <v>30</v>
      </c>
      <c r="F15" s="19">
        <v>40</v>
      </c>
      <c r="G15" s="19">
        <v>50</v>
      </c>
      <c r="H15" s="19">
        <v>60</v>
      </c>
      <c r="I15" s="19">
        <v>70</v>
      </c>
      <c r="J15" s="19">
        <v>80</v>
      </c>
      <c r="K15" s="19">
        <v>90</v>
      </c>
      <c r="L15" s="19">
        <v>98.66</v>
      </c>
    </row>
    <row r="16" spans="1:12">
      <c r="A16" t="s">
        <v>79</v>
      </c>
      <c r="B16" s="20">
        <f>RESULTS!O27</f>
        <v>18.575741434097299</v>
      </c>
      <c r="C16" s="20">
        <f>RESULTS!P27</f>
        <v>18.870171165466303</v>
      </c>
      <c r="D16" s="20">
        <f>RESULTS!Q27</f>
        <v>19.493417787551856</v>
      </c>
      <c r="E16" s="20">
        <f>RESULTS!R27</f>
        <v>19.67641468048096</v>
      </c>
      <c r="F16" s="20">
        <f>RESULTS!S27</f>
        <v>20.496056222915659</v>
      </c>
      <c r="G16" s="20">
        <f>RESULTS!T27</f>
        <v>21.104758071899418</v>
      </c>
      <c r="H16" s="20">
        <f>RESULTS!U27</f>
        <v>21.968450498580939</v>
      </c>
      <c r="I16" s="20">
        <f>RESULTS!V27</f>
        <v>22.382797908782958</v>
      </c>
      <c r="J16" s="20">
        <f>RESULTS!W27</f>
        <v>23.399629497528082</v>
      </c>
      <c r="K16" s="20">
        <f>RESULTS!X27</f>
        <v>23.787122058868402</v>
      </c>
      <c r="L16" s="20">
        <f>RESULTS!Y27</f>
        <v>23.785337829589839</v>
      </c>
    </row>
    <row r="17" spans="1:12" s="36" customFormat="1">
      <c r="A17" s="36" t="s">
        <v>103</v>
      </c>
      <c r="B17" s="41">
        <f>RESULTS!O28</f>
        <v>1.8977839575082138</v>
      </c>
      <c r="C17" s="41">
        <f>RESULTS!P28</f>
        <v>4.9834346131807643E-2</v>
      </c>
      <c r="D17" s="41">
        <f>RESULTS!Q28</f>
        <v>0.29084623145808686</v>
      </c>
      <c r="E17" s="41">
        <f>RESULTS!R28</f>
        <v>5.7691571209262084E-2</v>
      </c>
      <c r="F17" s="41">
        <f>RESULTS!S28</f>
        <v>0.12351649469160367</v>
      </c>
      <c r="G17" s="41">
        <f>RESULTS!T28</f>
        <v>0.19186344015820012</v>
      </c>
      <c r="H17" s="41">
        <f>RESULTS!U28</f>
        <v>0.37989676348492152</v>
      </c>
      <c r="I17" s="41">
        <f>RESULTS!V28</f>
        <v>0.24835936244298135</v>
      </c>
      <c r="J17" s="41">
        <f>RESULTS!W28</f>
        <v>0.91237690408108885</v>
      </c>
      <c r="K17" s="41">
        <f>RESULTS!X28</f>
        <v>0.35012509508710876</v>
      </c>
      <c r="L17" s="41">
        <f>RESULTS!Y28</f>
        <v>0.32623197457318059</v>
      </c>
    </row>
    <row r="18" spans="1:12">
      <c r="A18" t="s">
        <v>80</v>
      </c>
      <c r="B18" s="20">
        <f>RESULTS!O92</f>
        <v>12.09770650863646</v>
      </c>
      <c r="C18" s="20">
        <f>RESULTS!P92</f>
        <v>12.192800521850581</v>
      </c>
      <c r="D18" s="20">
        <f>RESULTS!Q92</f>
        <v>12.33870306015012</v>
      </c>
      <c r="E18" s="20">
        <f>RESULTS!R92</f>
        <v>12.78703536987304</v>
      </c>
      <c r="F18" s="20">
        <f>RESULTS!S92</f>
        <v>13.35418190956114</v>
      </c>
      <c r="G18" s="20">
        <f>RESULTS!T92</f>
        <v>13.82445855140686</v>
      </c>
      <c r="H18" s="20">
        <f>RESULTS!U92</f>
        <v>14.1121973514557</v>
      </c>
      <c r="I18" s="20">
        <f>RESULTS!V92</f>
        <v>15.037060980411379</v>
      </c>
      <c r="J18" s="20">
        <f>RESULTS!W92</f>
        <v>15.64603961005626</v>
      </c>
      <c r="K18" s="20">
        <f>RESULTS!X92</f>
        <v>16.511051559448241</v>
      </c>
      <c r="L18" s="20">
        <f>RESULTS!Y92</f>
        <v>17.098332548141499</v>
      </c>
    </row>
    <row r="19" spans="1:12" s="36" customFormat="1">
      <c r="A19" s="36" t="s">
        <v>103</v>
      </c>
      <c r="B19" s="41">
        <f>RESULTS!O93</f>
        <v>8.9064561273534654E-2</v>
      </c>
      <c r="C19" s="41">
        <f>RESULTS!P93</f>
        <v>3.4478462599970873E-2</v>
      </c>
      <c r="D19" s="41">
        <f>RESULTS!Q93</f>
        <v>8.9176377824572689E-2</v>
      </c>
      <c r="E19" s="41">
        <f>RESULTS!R93</f>
        <v>8.4701763334309163E-2</v>
      </c>
      <c r="F19" s="41">
        <f>RESULTS!S93</f>
        <v>8.4168139564030769E-2</v>
      </c>
      <c r="G19" s="41">
        <f>RESULTS!T93</f>
        <v>0.22650798047120183</v>
      </c>
      <c r="H19" s="41">
        <f>RESULTS!U93</f>
        <v>0.26719213971672168</v>
      </c>
      <c r="I19" s="41">
        <f>RESULTS!V93</f>
        <v>0.1097541209572224</v>
      </c>
      <c r="J19" s="41">
        <f>RESULTS!W93</f>
        <v>8.7065318356866539E-2</v>
      </c>
      <c r="K19" s="41">
        <f>RESULTS!X93</f>
        <v>0.16757487007526031</v>
      </c>
      <c r="L19" s="41">
        <f>RESULTS!Y93</f>
        <v>4.7501703406654772E-2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7A82-925C-469E-B897-97FF5386D2D9}">
  <dimension ref="A1:L25"/>
  <sheetViews>
    <sheetView workbookViewId="0">
      <selection activeCell="B13" sqref="B13"/>
    </sheetView>
  </sheetViews>
  <sheetFormatPr defaultRowHeight="13.2"/>
  <cols>
    <col min="1" max="1" width="8.88671875" style="40"/>
    <col min="2" max="5" width="10.6640625" customWidth="1"/>
    <col min="6" max="6" width="10.6640625" style="40" customWidth="1"/>
    <col min="7" max="10" width="10.6640625" customWidth="1"/>
    <col min="12" max="12" width="26.21875" customWidth="1"/>
  </cols>
  <sheetData>
    <row r="1" spans="1:12">
      <c r="A1" s="24" t="s">
        <v>85</v>
      </c>
      <c r="B1" s="22"/>
      <c r="C1" s="22"/>
      <c r="D1" s="22"/>
      <c r="E1" s="22"/>
      <c r="F1" s="24"/>
      <c r="G1" s="22"/>
      <c r="H1" s="22"/>
      <c r="I1" s="22"/>
      <c r="J1" s="22"/>
    </row>
    <row r="2" spans="1:12">
      <c r="A2" s="24"/>
      <c r="B2" s="22" t="s">
        <v>91</v>
      </c>
      <c r="C2" s="22" t="s">
        <v>91</v>
      </c>
      <c r="D2" s="22" t="s">
        <v>91</v>
      </c>
      <c r="E2" s="22" t="s">
        <v>91</v>
      </c>
      <c r="F2" s="24"/>
      <c r="G2" s="22" t="s">
        <v>96</v>
      </c>
      <c r="H2" s="22" t="s">
        <v>96</v>
      </c>
      <c r="I2" s="22" t="s">
        <v>96</v>
      </c>
      <c r="J2" s="22" t="s">
        <v>96</v>
      </c>
      <c r="L2" s="19"/>
    </row>
    <row r="3" spans="1:12" ht="15" customHeight="1">
      <c r="A3" s="24"/>
      <c r="B3" s="22" t="s">
        <v>92</v>
      </c>
      <c r="C3" s="22" t="s">
        <v>93</v>
      </c>
      <c r="D3" s="22" t="s">
        <v>94</v>
      </c>
      <c r="E3" s="22" t="s">
        <v>95</v>
      </c>
      <c r="F3" s="24"/>
      <c r="G3" s="22" t="s">
        <v>92</v>
      </c>
      <c r="H3" s="22" t="s">
        <v>93</v>
      </c>
      <c r="I3" s="22" t="s">
        <v>94</v>
      </c>
      <c r="J3" s="22" t="s">
        <v>95</v>
      </c>
      <c r="L3" s="21"/>
    </row>
    <row r="4" spans="1:12">
      <c r="A4" s="24">
        <v>1</v>
      </c>
      <c r="B4" s="23">
        <f>RESULTS!H7</f>
        <v>2.02999687194824</v>
      </c>
      <c r="C4" s="23">
        <f>RESULTS!O7</f>
        <v>2.0804848670959499</v>
      </c>
      <c r="D4" s="23">
        <f>RESULTS!T7</f>
        <v>2.1931707859039302</v>
      </c>
      <c r="E4" s="23">
        <f>RESULTS!X7</f>
        <v>2.34498810768127</v>
      </c>
      <c r="F4" s="24">
        <v>1</v>
      </c>
      <c r="G4" s="23">
        <f>RESULTS!H72</f>
        <v>5.39837622642517</v>
      </c>
      <c r="H4" s="23">
        <f>RESULTS!O72</f>
        <v>4.7450213432312003</v>
      </c>
      <c r="I4" s="23">
        <f>RESULTS!T72</f>
        <v>5.1201641559600803</v>
      </c>
      <c r="J4" s="23">
        <f>RESULTS!X72</f>
        <v>5.5966918468475297</v>
      </c>
    </row>
    <row r="5" spans="1:12">
      <c r="A5" s="24">
        <v>2</v>
      </c>
      <c r="B5" s="23">
        <f>RESULTS!H8</f>
        <v>2.2961738109588601</v>
      </c>
      <c r="C5" s="23">
        <f>RESULTS!O8</f>
        <v>1.93723487854004</v>
      </c>
      <c r="D5" s="23">
        <f>RESULTS!T8</f>
        <v>2.0309031009674099</v>
      </c>
      <c r="E5" s="23">
        <f>RESULTS!X8</f>
        <v>1.9982950687408401</v>
      </c>
      <c r="F5" s="24">
        <v>2</v>
      </c>
      <c r="G5" s="23">
        <f>RESULTS!H73</f>
        <v>5.3817689418792698</v>
      </c>
      <c r="H5" s="23">
        <f>RESULTS!O73</f>
        <v>4.73809909820557</v>
      </c>
      <c r="I5" s="23">
        <f>RESULTS!T73</f>
        <v>4.96439409255981</v>
      </c>
      <c r="J5" s="23">
        <f>RESULTS!X73</f>
        <v>5.5701038837432897</v>
      </c>
    </row>
    <row r="6" spans="1:12">
      <c r="A6" s="24">
        <v>3</v>
      </c>
      <c r="B6" s="23">
        <f>RESULTS!H9</f>
        <v>1.5648717880248999</v>
      </c>
      <c r="C6" s="23">
        <f>RESULTS!O9</f>
        <v>1.8218522071838399</v>
      </c>
      <c r="D6" s="23">
        <f>RESULTS!T9</f>
        <v>1.95615935325623</v>
      </c>
      <c r="E6" s="23">
        <f>RESULTS!X9</f>
        <v>2.1413822174072301</v>
      </c>
      <c r="F6" s="24">
        <v>3</v>
      </c>
      <c r="G6" s="23">
        <f>RESULTS!H74</f>
        <v>5.42183613777161</v>
      </c>
      <c r="H6" s="23">
        <f>RESULTS!O74</f>
        <v>4.63582420349121</v>
      </c>
      <c r="I6" s="23">
        <f>RESULTS!T74</f>
        <v>4.9617068767547599</v>
      </c>
      <c r="J6" s="23">
        <f>RESULTS!X74</f>
        <v>5.5535809993743896</v>
      </c>
    </row>
    <row r="7" spans="1:12">
      <c r="A7" s="24">
        <v>4</v>
      </c>
      <c r="B7" s="23">
        <f>RESULTS!H10</f>
        <v>1.58504295349121</v>
      </c>
      <c r="C7" s="23">
        <f>RESULTS!O10</f>
        <v>1.7936692237853999</v>
      </c>
      <c r="D7" s="23">
        <f>RESULTS!T10</f>
        <v>1.9312160015106199</v>
      </c>
      <c r="E7" s="23">
        <f>RESULTS!X10</f>
        <v>2.0058958530425999</v>
      </c>
      <c r="F7" s="24">
        <v>4</v>
      </c>
      <c r="G7" s="23">
        <f>RESULTS!H75</f>
        <v>5.42744708061218</v>
      </c>
      <c r="H7" s="23">
        <f>RESULTS!O75</f>
        <v>4.6376059055328396</v>
      </c>
      <c r="I7" s="23">
        <f>RESULTS!T75</f>
        <v>5.0398790836334202</v>
      </c>
      <c r="J7" s="23">
        <f>RESULTS!X75</f>
        <v>5.5230431556701696</v>
      </c>
    </row>
    <row r="8" spans="1:12">
      <c r="A8" s="24">
        <v>5</v>
      </c>
      <c r="B8" s="23">
        <f>RESULTS!H11</f>
        <v>1.8753530979156501</v>
      </c>
      <c r="C8" s="23">
        <f>RESULTS!O11</f>
        <v>1.7616651058196999</v>
      </c>
      <c r="D8" s="23">
        <f>RESULTS!T11</f>
        <v>1.8897399902343801</v>
      </c>
      <c r="E8" s="23">
        <f>RESULTS!X11</f>
        <v>3.11561131477356</v>
      </c>
      <c r="F8" s="24">
        <v>5</v>
      </c>
      <c r="G8" s="23">
        <f>RESULTS!H76</f>
        <v>5.3890888690948504</v>
      </c>
      <c r="H8" s="23">
        <f>RESULTS!O76</f>
        <v>4.68859887123108</v>
      </c>
      <c r="I8" s="23">
        <f>RESULTS!T76</f>
        <v>4.96244192123413</v>
      </c>
      <c r="J8" s="23">
        <f>RESULTS!X76</f>
        <v>5.5389158725738499</v>
      </c>
    </row>
    <row r="9" spans="1:12" s="44" customFormat="1">
      <c r="A9" s="42" t="s">
        <v>81</v>
      </c>
      <c r="B9" s="43">
        <f>RESULTS!H12</f>
        <v>1.8702877044677719</v>
      </c>
      <c r="C9" s="43">
        <f>RESULTS!O12</f>
        <v>1.8789812564849862</v>
      </c>
      <c r="D9" s="43">
        <f>RESULTS!T12</f>
        <v>2.0002378463745139</v>
      </c>
      <c r="E9" s="43">
        <f>RESULTS!X12</f>
        <v>2.3212345123291001</v>
      </c>
      <c r="F9" s="42" t="s">
        <v>81</v>
      </c>
      <c r="G9" s="43">
        <f>RESULTS!H77</f>
        <v>5.4037034511566162</v>
      </c>
      <c r="H9" s="43">
        <f>RESULTS!O77</f>
        <v>4.68902988433838</v>
      </c>
      <c r="I9" s="43">
        <f>RESULTS!T77</f>
        <v>5.0097172260284406</v>
      </c>
      <c r="J9" s="43">
        <f>RESULTS!X77</f>
        <v>5.5564671516418453</v>
      </c>
    </row>
    <row r="10" spans="1:12" s="36" customFormat="1">
      <c r="A10" s="39" t="s">
        <v>100</v>
      </c>
      <c r="B10" s="38">
        <f>RESULTS!H14</f>
        <v>0.30885073339177371</v>
      </c>
      <c r="C10" s="38">
        <f>RESULTS!O14</f>
        <v>0.13067339053542631</v>
      </c>
      <c r="D10" s="38">
        <f>RESULTS!T14</f>
        <v>0.11945729553931428</v>
      </c>
      <c r="E10" s="38">
        <f>RESULTS!X14</f>
        <v>0.46574508580563728</v>
      </c>
      <c r="F10" s="39" t="s">
        <v>100</v>
      </c>
      <c r="G10" s="38">
        <f>RESULTS!H79</f>
        <v>2.0097526545685314E-2</v>
      </c>
      <c r="H10" s="38">
        <f>RESULTS!O79</f>
        <v>5.2484014379124651E-2</v>
      </c>
      <c r="I10" s="38">
        <f>RESULTS!T79</f>
        <v>7.0182612685940046E-2</v>
      </c>
      <c r="J10" s="38">
        <f>RESULTS!X79</f>
        <v>2.8449636840146862E-2</v>
      </c>
    </row>
    <row r="11" spans="1:12">
      <c r="A11" s="40" t="s">
        <v>101</v>
      </c>
      <c r="B11" s="23">
        <f>RESULTS!H15</f>
        <v>1.5648717880248999</v>
      </c>
      <c r="C11" s="23">
        <f>RESULTS!O15</f>
        <v>1.7616651058196999</v>
      </c>
      <c r="D11" s="23">
        <f>RESULTS!T15</f>
        <v>1.8897399902343801</v>
      </c>
      <c r="E11" s="23">
        <f>RESULTS!X15</f>
        <v>1.9982950687408401</v>
      </c>
      <c r="F11" s="40" t="s">
        <v>101</v>
      </c>
      <c r="G11" s="23">
        <f>RESULTS!H80</f>
        <v>5.3817689418792698</v>
      </c>
      <c r="H11" s="23">
        <f>RESULTS!O80</f>
        <v>4.63582420349121</v>
      </c>
      <c r="I11" s="23">
        <f>RESULTS!T80</f>
        <v>4.9617068767547599</v>
      </c>
      <c r="J11" s="23">
        <f>RESULTS!X80</f>
        <v>5.5230431556701696</v>
      </c>
    </row>
    <row r="12" spans="1:12">
      <c r="A12" s="40" t="s">
        <v>102</v>
      </c>
      <c r="B12" s="23">
        <f>RESULTS!H16</f>
        <v>2.2961738109588601</v>
      </c>
      <c r="C12" s="23">
        <f>RESULTS!O16</f>
        <v>2.0804848670959499</v>
      </c>
      <c r="D12" s="23">
        <f>RESULTS!T16</f>
        <v>2.1931707859039302</v>
      </c>
      <c r="E12" s="23">
        <f>RESULTS!X16</f>
        <v>3.11561131477356</v>
      </c>
      <c r="F12" s="40" t="s">
        <v>102</v>
      </c>
      <c r="G12" s="23">
        <f>RESULTS!H81</f>
        <v>5.42744708061218</v>
      </c>
      <c r="H12" s="23">
        <f>RESULTS!O81</f>
        <v>4.7450213432312003</v>
      </c>
      <c r="I12" s="23">
        <f>RESULTS!T81</f>
        <v>5.1201641559600803</v>
      </c>
      <c r="J12" s="23">
        <f>RESULTS!X81</f>
        <v>5.5966918468475297</v>
      </c>
    </row>
    <row r="13" spans="1:12">
      <c r="A13" s="24"/>
      <c r="B13" s="22"/>
      <c r="C13" s="22"/>
      <c r="D13" s="22"/>
      <c r="E13" s="22"/>
      <c r="F13" s="24"/>
      <c r="G13" s="22"/>
      <c r="H13" s="22"/>
      <c r="I13" s="22"/>
      <c r="J13" s="22"/>
    </row>
    <row r="14" spans="1:12">
      <c r="A14" s="24" t="s">
        <v>83</v>
      </c>
      <c r="B14" s="22"/>
      <c r="C14" s="22"/>
      <c r="D14" s="22"/>
      <c r="E14" s="22"/>
      <c r="F14" s="24"/>
      <c r="G14" s="22"/>
      <c r="H14" s="22"/>
      <c r="I14" s="22"/>
      <c r="J14" s="22"/>
    </row>
    <row r="15" spans="1:12">
      <c r="A15" s="24"/>
      <c r="B15" s="22" t="s">
        <v>91</v>
      </c>
      <c r="C15" s="22" t="s">
        <v>91</v>
      </c>
      <c r="D15" s="22" t="s">
        <v>91</v>
      </c>
      <c r="E15" s="22" t="s">
        <v>91</v>
      </c>
      <c r="F15" s="24"/>
      <c r="G15" s="22" t="s">
        <v>96</v>
      </c>
      <c r="H15" s="22" t="s">
        <v>96</v>
      </c>
      <c r="I15" s="22" t="s">
        <v>96</v>
      </c>
      <c r="J15" s="22" t="s">
        <v>96</v>
      </c>
    </row>
    <row r="16" spans="1:12">
      <c r="A16" s="24"/>
      <c r="B16" s="22" t="s">
        <v>92</v>
      </c>
      <c r="C16" s="22" t="s">
        <v>93</v>
      </c>
      <c r="D16" s="22" t="s">
        <v>94</v>
      </c>
      <c r="E16" s="22" t="s">
        <v>95</v>
      </c>
      <c r="F16" s="24"/>
      <c r="G16" s="22" t="s">
        <v>92</v>
      </c>
      <c r="H16" s="22" t="s">
        <v>93</v>
      </c>
      <c r="I16" s="22" t="s">
        <v>94</v>
      </c>
      <c r="J16" s="22" t="s">
        <v>95</v>
      </c>
    </row>
    <row r="17" spans="1:10">
      <c r="A17" s="24">
        <v>1</v>
      </c>
      <c r="B17" s="23">
        <f>RESULTS!H22</f>
        <v>21.244019746780399</v>
      </c>
      <c r="C17" s="23">
        <f>RESULTS!O22</f>
        <v>17.880681991577202</v>
      </c>
      <c r="D17" s="23">
        <f>RESULTS!T22</f>
        <v>21.298633098602298</v>
      </c>
      <c r="E17" s="23">
        <f>RESULTS!X22</f>
        <v>23.686776161193801</v>
      </c>
      <c r="F17" s="24">
        <v>1</v>
      </c>
      <c r="G17" s="23">
        <f>RESULTS!H87</f>
        <v>15.2049946784973</v>
      </c>
      <c r="H17" s="23">
        <f>RESULTS!O87</f>
        <v>12.174844121932999</v>
      </c>
      <c r="I17" s="23">
        <f>RESULTS!T87</f>
        <v>13.8830862045288</v>
      </c>
      <c r="J17" s="23">
        <f>RESULTS!X87</f>
        <v>16.362619876861601</v>
      </c>
    </row>
    <row r="18" spans="1:10">
      <c r="A18" s="24">
        <v>2</v>
      </c>
      <c r="B18" s="23">
        <f>RESULTS!H23</f>
        <v>21.068002939224201</v>
      </c>
      <c r="C18" s="23">
        <f>RESULTS!O23</f>
        <v>17.9730241298676</v>
      </c>
      <c r="D18" s="23">
        <f>RESULTS!T23</f>
        <v>21.209367990493799</v>
      </c>
      <c r="E18" s="23">
        <f>RESULTS!X23</f>
        <v>23.6904921531677</v>
      </c>
      <c r="F18" s="24">
        <v>2</v>
      </c>
      <c r="G18" s="23">
        <f>RESULTS!H88</f>
        <v>15.026822090148899</v>
      </c>
      <c r="H18" s="23">
        <f>RESULTS!O88</f>
        <v>11.9896822929382</v>
      </c>
      <c r="I18" s="23">
        <f>RESULTS!T88</f>
        <v>13.662374734878499</v>
      </c>
      <c r="J18" s="23">
        <f>RESULTS!X88</f>
        <v>16.4493889808655</v>
      </c>
    </row>
    <row r="19" spans="1:10">
      <c r="A19" s="24">
        <v>3</v>
      </c>
      <c r="B19" s="23">
        <f>RESULTS!H24</f>
        <v>21.1176021099091</v>
      </c>
      <c r="C19" s="23">
        <f>RESULTS!O24</f>
        <v>21.3084940910339</v>
      </c>
      <c r="D19" s="23">
        <f>RESULTS!T24</f>
        <v>20.922966003418001</v>
      </c>
      <c r="E19" s="23">
        <f>RESULTS!X24</f>
        <v>23.731452941894499</v>
      </c>
      <c r="F19" s="24">
        <v>3</v>
      </c>
      <c r="G19" s="23">
        <f>RESULTS!H89</f>
        <v>15.2616062164307</v>
      </c>
      <c r="H19" s="23">
        <f>RESULTS!O89</f>
        <v>12.1246829986572</v>
      </c>
      <c r="I19" s="23">
        <f>RESULTS!T89</f>
        <v>13.685672044754</v>
      </c>
      <c r="J19" s="23">
        <f>RESULTS!X89</f>
        <v>16.434996843337998</v>
      </c>
    </row>
    <row r="20" spans="1:10">
      <c r="A20" s="24">
        <v>4</v>
      </c>
      <c r="B20" s="23">
        <f>RESULTS!H25</f>
        <v>21.102537870407101</v>
      </c>
      <c r="C20" s="23">
        <f>RESULTS!O25</f>
        <v>17.8720140457153</v>
      </c>
      <c r="D20" s="23">
        <f>RESULTS!T25</f>
        <v>21.106075286865199</v>
      </c>
      <c r="E20" s="23">
        <f>RESULTS!X25</f>
        <v>24.276509046554601</v>
      </c>
      <c r="F20" s="24">
        <v>4</v>
      </c>
      <c r="G20" s="23">
        <f>RESULTS!H90</f>
        <v>15.132641792297401</v>
      </c>
      <c r="H20" s="23">
        <f>RESULTS!O90</f>
        <v>12.066300249099699</v>
      </c>
      <c r="I20" s="23">
        <f>RESULTS!T90</f>
        <v>14.111111879348799</v>
      </c>
      <c r="J20" s="23">
        <f>RESULTS!X90</f>
        <v>16.641928911209099</v>
      </c>
    </row>
    <row r="21" spans="1:10">
      <c r="A21" s="24">
        <v>5</v>
      </c>
      <c r="B21" s="23">
        <f>RESULTS!H26</f>
        <v>21.184438943862901</v>
      </c>
      <c r="C21" s="23">
        <f>RESULTS!O26</f>
        <v>17.844492912292498</v>
      </c>
      <c r="D21" s="23">
        <f>RESULTS!T26</f>
        <v>20.986747980117801</v>
      </c>
      <c r="E21" s="23">
        <f>RESULTS!X26</f>
        <v>23.5503799915314</v>
      </c>
      <c r="F21" s="24">
        <v>5</v>
      </c>
      <c r="G21" s="23">
        <f>RESULTS!H91</f>
        <v>14.796758174896199</v>
      </c>
      <c r="H21" s="23">
        <f>RESULTS!O91</f>
        <v>12.133022880554199</v>
      </c>
      <c r="I21" s="23">
        <f>RESULTS!T91</f>
        <v>13.7800478935242</v>
      </c>
      <c r="J21" s="23">
        <f>RESULTS!X91</f>
        <v>16.666323184966998</v>
      </c>
    </row>
    <row r="22" spans="1:10" s="44" customFormat="1">
      <c r="A22" s="42" t="s">
        <v>81</v>
      </c>
      <c r="B22" s="43">
        <f>RESULTS!H27</f>
        <v>21.14332032203674</v>
      </c>
      <c r="C22" s="43">
        <f>RESULTS!O27</f>
        <v>18.575741434097299</v>
      </c>
      <c r="D22" s="43">
        <f>RESULTS!T27</f>
        <v>21.104758071899418</v>
      </c>
      <c r="E22" s="43">
        <f>RESULTS!X27</f>
        <v>23.787122058868402</v>
      </c>
      <c r="F22" s="42" t="s">
        <v>81</v>
      </c>
      <c r="G22" s="43">
        <f>RESULTS!H92</f>
        <v>15.084564590454098</v>
      </c>
      <c r="H22" s="43">
        <f>RESULTS!O92</f>
        <v>12.09770650863646</v>
      </c>
      <c r="I22" s="43">
        <f>RESULTS!T92</f>
        <v>13.82445855140686</v>
      </c>
      <c r="J22" s="43">
        <f>RESULTS!X92</f>
        <v>16.511051559448241</v>
      </c>
    </row>
    <row r="23" spans="1:10" s="36" customFormat="1">
      <c r="A23" s="39" t="s">
        <v>100</v>
      </c>
      <c r="B23" s="38">
        <f>RESULTS!H29</f>
        <v>7.0406779066868666E-2</v>
      </c>
      <c r="C23" s="38">
        <f>RESULTS!O29</f>
        <v>1.5284198947973175</v>
      </c>
      <c r="D23" s="38">
        <f>RESULTS!T29</f>
        <v>0.15452122348377395</v>
      </c>
      <c r="E23" s="38">
        <f>RESULTS!X29</f>
        <v>0.2819805483557648</v>
      </c>
      <c r="F23" s="39" t="s">
        <v>100</v>
      </c>
      <c r="G23" s="38">
        <f>RESULTS!H94</f>
        <v>0.18325207362359894</v>
      </c>
      <c r="H23" s="38">
        <f>RESULTS!O94</f>
        <v>7.17300021603096E-2</v>
      </c>
      <c r="I23" s="38">
        <f>RESULTS!T94</f>
        <v>0.1824229266523604</v>
      </c>
      <c r="J23" s="38">
        <f>RESULTS!X94</f>
        <v>0.13495991694828888</v>
      </c>
    </row>
    <row r="24" spans="1:10">
      <c r="A24" s="40" t="s">
        <v>101</v>
      </c>
      <c r="B24" s="23">
        <f>RESULTS!H30</f>
        <v>21.068002939224201</v>
      </c>
      <c r="C24" s="23">
        <f>RESULTS!O30</f>
        <v>17.844492912292498</v>
      </c>
      <c r="D24" s="23">
        <f>RESULTS!T30</f>
        <v>20.922966003418001</v>
      </c>
      <c r="E24" s="23">
        <f>RESULTS!X30</f>
        <v>23.5503799915314</v>
      </c>
      <c r="F24" s="40" t="s">
        <v>101</v>
      </c>
      <c r="G24" s="23">
        <f>RESULTS!H95</f>
        <v>14.796758174896199</v>
      </c>
      <c r="H24" s="23">
        <f>RESULTS!O95</f>
        <v>11.9896822929382</v>
      </c>
      <c r="I24" s="23">
        <f>RESULTS!T95</f>
        <v>13.662374734878499</v>
      </c>
      <c r="J24" s="23">
        <f>RESULTS!X95</f>
        <v>16.362619876861601</v>
      </c>
    </row>
    <row r="25" spans="1:10">
      <c r="A25" s="40" t="s">
        <v>102</v>
      </c>
      <c r="B25" s="23">
        <f>RESULTS!H31</f>
        <v>21.244019746780399</v>
      </c>
      <c r="C25" s="23">
        <f>RESULTS!O31</f>
        <v>21.3084940910339</v>
      </c>
      <c r="D25" s="23">
        <f>RESULTS!T31</f>
        <v>21.298633098602298</v>
      </c>
      <c r="E25" s="23">
        <f>RESULTS!X31</f>
        <v>24.276509046554601</v>
      </c>
      <c r="F25" s="40" t="s">
        <v>102</v>
      </c>
      <c r="G25" s="23">
        <f>RESULTS!H96</f>
        <v>15.2616062164307</v>
      </c>
      <c r="H25" s="23">
        <f>RESULTS!O96</f>
        <v>12.174844121932999</v>
      </c>
      <c r="I25" s="23">
        <f>RESULTS!T96</f>
        <v>14.111111879348799</v>
      </c>
      <c r="J25" s="23">
        <f>RESULTS!X96</f>
        <v>16.666323184966998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E7C7-0366-42BD-9C5F-4AE3A1A7A9FE}">
  <dimension ref="A1:G21"/>
  <sheetViews>
    <sheetView tabSelected="1" zoomScaleNormal="100" workbookViewId="0">
      <selection activeCell="AB45" sqref="AB45"/>
    </sheetView>
  </sheetViews>
  <sheetFormatPr defaultRowHeight="13.2"/>
  <cols>
    <col min="1" max="1" width="17.33203125" customWidth="1"/>
    <col min="2" max="2" width="11.77734375" bestFit="1" customWidth="1"/>
  </cols>
  <sheetData>
    <row r="1" spans="1:7">
      <c r="A1" t="s">
        <v>85</v>
      </c>
    </row>
    <row r="2" spans="1:7">
      <c r="A2" t="s">
        <v>86</v>
      </c>
      <c r="B2" s="19">
        <v>384</v>
      </c>
      <c r="C2" s="19">
        <v>3000</v>
      </c>
      <c r="D2" s="19">
        <v>5000</v>
      </c>
      <c r="E2" s="19">
        <v>7000</v>
      </c>
      <c r="F2" s="19">
        <v>9000</v>
      </c>
      <c r="G2" s="19">
        <v>10677</v>
      </c>
    </row>
    <row r="3" spans="1:7">
      <c r="A3" t="s">
        <v>87</v>
      </c>
      <c r="B3" s="20">
        <f>RESULTS!C12</f>
        <v>0.36085314750671377</v>
      </c>
      <c r="C3" s="20">
        <f>RESULTS!D12</f>
        <v>0.84696764945983816</v>
      </c>
      <c r="D3" s="20">
        <f>RESULTS!E12</f>
        <v>1.0491233825683599</v>
      </c>
      <c r="E3" s="20">
        <f>RESULTS!F12</f>
        <v>1.2784921646118159</v>
      </c>
      <c r="F3" s="20">
        <f>RESULTS!G12</f>
        <v>1.6245977878570561</v>
      </c>
      <c r="G3" s="20">
        <f>RESULTS!H12</f>
        <v>1.8702877044677719</v>
      </c>
    </row>
    <row r="4" spans="1:7" s="36" customFormat="1">
      <c r="A4" s="36" t="s">
        <v>103</v>
      </c>
      <c r="B4" s="41">
        <f>RESULTS!C13</f>
        <v>8.6409659690742744E-3</v>
      </c>
      <c r="C4" s="41">
        <f>RESULTS!D13</f>
        <v>0.15944946512060151</v>
      </c>
      <c r="D4" s="41">
        <f>RESULTS!E13</f>
        <v>4.8332972957973813E-2</v>
      </c>
      <c r="E4" s="41">
        <f>RESULTS!F13</f>
        <v>2.5763188732269193E-2</v>
      </c>
      <c r="F4" s="41">
        <f>RESULTS!G13</f>
        <v>5.6844999164259932E-2</v>
      </c>
      <c r="G4" s="41">
        <f>RESULTS!H13</f>
        <v>0.38348883647139453</v>
      </c>
    </row>
    <row r="5" spans="1:7">
      <c r="A5" t="s">
        <v>90</v>
      </c>
      <c r="B5" s="20">
        <f>RESULTS!J12</f>
        <v>0.40299463272094743</v>
      </c>
      <c r="C5" s="20">
        <f>RESULTS!K12</f>
        <v>0.71448059082031257</v>
      </c>
      <c r="D5" s="20">
        <f>RESULTS!L12</f>
        <v>0.97633824348449738</v>
      </c>
      <c r="E5" s="20">
        <f>RESULTS!M12</f>
        <v>1.2167757511138941</v>
      </c>
      <c r="F5" s="20">
        <f>RESULTS!N12</f>
        <v>1.571520757675172</v>
      </c>
      <c r="G5" s="20">
        <f>RESULTS!O12</f>
        <v>1.8789812564849862</v>
      </c>
    </row>
    <row r="6" spans="1:7" s="36" customFormat="1">
      <c r="A6" s="36" t="s">
        <v>103</v>
      </c>
      <c r="B6" s="41">
        <f>RESULTS!J13</f>
        <v>4.7262167163735144E-2</v>
      </c>
      <c r="C6" s="41">
        <f>RESULTS!K13</f>
        <v>1.0960236105298506E-2</v>
      </c>
      <c r="D6" s="41">
        <f>RESULTS!L13</f>
        <v>2.6162014505222073E-2</v>
      </c>
      <c r="E6" s="41">
        <f>RESULTS!M13</f>
        <v>2.1396851330744246E-2</v>
      </c>
      <c r="F6" s="41">
        <f>RESULTS!N13</f>
        <v>4.8688891675956983E-2</v>
      </c>
      <c r="G6" s="41">
        <f>RESULTS!O13</f>
        <v>0.16225244455105933</v>
      </c>
    </row>
    <row r="7" spans="1:7">
      <c r="A7" t="s">
        <v>88</v>
      </c>
      <c r="B7" s="20">
        <f>RESULTS!C77</f>
        <v>0.76133666038513204</v>
      </c>
      <c r="C7" s="20">
        <f>RESULTS!D77</f>
        <v>1.9653762340545662</v>
      </c>
      <c r="D7" s="20">
        <f>RESULTS!E77</f>
        <v>2.8739592075347877</v>
      </c>
      <c r="E7" s="20">
        <f>RESULTS!F77</f>
        <v>3.7767848491668703</v>
      </c>
      <c r="F7" s="20">
        <f>RESULTS!G77</f>
        <v>4.7450544357299798</v>
      </c>
      <c r="G7" s="20">
        <f>RESULTS!H77</f>
        <v>5.4037034511566162</v>
      </c>
    </row>
    <row r="8" spans="1:7" s="36" customFormat="1">
      <c r="A8" s="36" t="s">
        <v>103</v>
      </c>
      <c r="B8" s="41">
        <f>RESULTS!C78</f>
        <v>5.6778373061877913E-2</v>
      </c>
      <c r="C8" s="41">
        <f>RESULTS!D78</f>
        <v>3.9444362262532499E-2</v>
      </c>
      <c r="D8" s="41">
        <f>RESULTS!E78</f>
        <v>5.7561997967001642E-2</v>
      </c>
      <c r="E8" s="41">
        <f>RESULTS!F78</f>
        <v>3.6517290905621093E-2</v>
      </c>
      <c r="F8" s="41">
        <f>RESULTS!G78</f>
        <v>3.3966055564759248E-2</v>
      </c>
      <c r="G8" s="41">
        <f>RESULTS!H78</f>
        <v>2.4954375164721911E-2</v>
      </c>
    </row>
    <row r="9" spans="1:7">
      <c r="A9" t="s">
        <v>89</v>
      </c>
      <c r="B9" s="20">
        <f>RESULTS!J77</f>
        <v>0.72319178581237797</v>
      </c>
      <c r="C9" s="20">
        <f>RESULTS!K77</f>
        <v>1.736548852920532</v>
      </c>
      <c r="D9" s="20">
        <f>RESULTS!L77</f>
        <v>2.5770490169525138</v>
      </c>
      <c r="E9" s="20">
        <f>RESULTS!M77</f>
        <v>3.2657414913177476</v>
      </c>
      <c r="F9" s="20">
        <f>RESULTS!N77</f>
        <v>4.0226851940155024</v>
      </c>
      <c r="G9" s="20">
        <f>RESULTS!O77</f>
        <v>4.68902988433838</v>
      </c>
    </row>
    <row r="10" spans="1:7" s="36" customFormat="1">
      <c r="A10" s="36" t="s">
        <v>103</v>
      </c>
      <c r="B10" s="41">
        <f>RESULTS!J78</f>
        <v>1.8883938329886496E-2</v>
      </c>
      <c r="C10" s="41">
        <f>RESULTS!K78</f>
        <v>2.9726977171564885E-2</v>
      </c>
      <c r="D10" s="41">
        <f>RESULTS!L78</f>
        <v>7.2530574463157763E-2</v>
      </c>
      <c r="E10" s="41">
        <f>RESULTS!M78</f>
        <v>5.1841158161821978E-2</v>
      </c>
      <c r="F10" s="41">
        <f>RESULTS!N78</f>
        <v>5.566087594917099E-2</v>
      </c>
      <c r="G10" s="41">
        <f>RESULTS!O78</f>
        <v>6.5167511135767756E-2</v>
      </c>
    </row>
    <row r="12" spans="1:7">
      <c r="A12" t="s">
        <v>83</v>
      </c>
    </row>
    <row r="13" spans="1:7">
      <c r="A13" t="s">
        <v>86</v>
      </c>
      <c r="B13" s="19">
        <v>384</v>
      </c>
      <c r="C13" s="19">
        <v>3000</v>
      </c>
      <c r="D13" s="19">
        <v>5000</v>
      </c>
      <c r="E13" s="19">
        <v>7000</v>
      </c>
      <c r="F13" s="19">
        <v>9000</v>
      </c>
      <c r="G13" s="19">
        <v>10677</v>
      </c>
    </row>
    <row r="14" spans="1:7">
      <c r="A14" t="s">
        <v>87</v>
      </c>
      <c r="B14" s="20">
        <f>RESULTS!C27</f>
        <v>4.8898669719696066</v>
      </c>
      <c r="C14" s="20">
        <f>RESULTS!D27</f>
        <v>9.1885434150695797</v>
      </c>
      <c r="D14" s="20">
        <f>RESULTS!E27</f>
        <v>12.408020401000979</v>
      </c>
      <c r="E14" s="20">
        <f>RESULTS!F27</f>
        <v>15.79757041931154</v>
      </c>
      <c r="F14" s="20">
        <f>RESULTS!G27</f>
        <v>18.754188203811658</v>
      </c>
      <c r="G14" s="20">
        <f>RESULTS!H27</f>
        <v>21.14332032203674</v>
      </c>
    </row>
    <row r="15" spans="1:7" s="36" customFormat="1">
      <c r="A15" s="36" t="s">
        <v>103</v>
      </c>
      <c r="B15" s="41">
        <f>RESULTS!C28</f>
        <v>5.6722402777134799E-2</v>
      </c>
      <c r="C15" s="41">
        <f>RESULTS!D28</f>
        <v>8.9595698542787205E-2</v>
      </c>
      <c r="D15" s="41">
        <f>RESULTS!E28</f>
        <v>4.333473305264357E-2</v>
      </c>
      <c r="E15" s="41">
        <f>RESULTS!F28</f>
        <v>0.98451007494755338</v>
      </c>
      <c r="F15" s="41">
        <f>RESULTS!G28</f>
        <v>1.5444841703746584E-2</v>
      </c>
      <c r="G15" s="41">
        <f>RESULTS!H28</f>
        <v>8.7421562796817232E-2</v>
      </c>
    </row>
    <row r="16" spans="1:7">
      <c r="A16" t="s">
        <v>90</v>
      </c>
      <c r="B16" s="20">
        <f>RESULTS!J27</f>
        <v>5.0459815025329577</v>
      </c>
      <c r="C16" s="20">
        <f>RESULTS!K27</f>
        <v>9.0164863586425792</v>
      </c>
      <c r="D16" s="20">
        <f>RESULTS!L27</f>
        <v>11.44549789428712</v>
      </c>
      <c r="E16" s="20">
        <f>RESULTS!M27</f>
        <v>13.836868906021101</v>
      </c>
      <c r="F16" s="20">
        <f>RESULTS!N27</f>
        <v>16.80327305793762</v>
      </c>
      <c r="G16" s="20">
        <f>RESULTS!O27</f>
        <v>18.575741434097299</v>
      </c>
    </row>
    <row r="17" spans="1:7" s="36" customFormat="1">
      <c r="A17" s="36" t="s">
        <v>103</v>
      </c>
      <c r="B17" s="41">
        <f>RESULTS!J28</f>
        <v>0.46871242807221419</v>
      </c>
      <c r="C17" s="41">
        <f>RESULTS!K28</f>
        <v>0.4817833444837899</v>
      </c>
      <c r="D17" s="41">
        <f>RESULTS!L28</f>
        <v>0.29330403344644618</v>
      </c>
      <c r="E17" s="41">
        <f>RESULTS!M28</f>
        <v>9.8112737049847021E-2</v>
      </c>
      <c r="F17" s="41">
        <f>RESULTS!N28</f>
        <v>0.15519618098293925</v>
      </c>
      <c r="G17" s="41">
        <f>RESULTS!O28</f>
        <v>1.8977839575082138</v>
      </c>
    </row>
    <row r="18" spans="1:7">
      <c r="A18" t="s">
        <v>88</v>
      </c>
      <c r="B18" s="20">
        <f>RESULTS!C92</f>
        <v>3.5175210475921639</v>
      </c>
      <c r="C18" s="20">
        <f>RESULTS!D92</f>
        <v>5.9774671077728261</v>
      </c>
      <c r="D18" s="20">
        <f>RESULTS!E92</f>
        <v>8.2970446109771743</v>
      </c>
      <c r="E18" s="20">
        <f>RESULTS!F92</f>
        <v>10.515591573715199</v>
      </c>
      <c r="F18" s="20">
        <f>RESULTS!G92</f>
        <v>13.04303765296936</v>
      </c>
      <c r="G18" s="20">
        <f>RESULTS!H92</f>
        <v>15.084564590454098</v>
      </c>
    </row>
    <row r="19" spans="1:7" s="36" customFormat="1">
      <c r="A19" s="36" t="s">
        <v>103</v>
      </c>
      <c r="B19" s="41">
        <f>RESULTS!C93</f>
        <v>0.50926812731001236</v>
      </c>
      <c r="C19" s="41">
        <f>RESULTS!D93</f>
        <v>7.7017722060688076E-2</v>
      </c>
      <c r="D19" s="41">
        <f>RESULTS!E93</f>
        <v>9.6403003598433443E-2</v>
      </c>
      <c r="E19" s="41">
        <f>RESULTS!F93</f>
        <v>0.12378629358820892</v>
      </c>
      <c r="F19" s="41">
        <f>RESULTS!G93</f>
        <v>7.5212864103612193E-2</v>
      </c>
      <c r="G19" s="41">
        <f>RESULTS!H93</f>
        <v>0.22753750241460841</v>
      </c>
    </row>
    <row r="20" spans="1:7">
      <c r="A20" t="s">
        <v>89</v>
      </c>
      <c r="B20" s="20">
        <f>RESULTS!J92</f>
        <v>3.055736780166626</v>
      </c>
      <c r="C20" s="20">
        <f>RESULTS!K92</f>
        <v>5.2772180080413822</v>
      </c>
      <c r="D20" s="20">
        <f>RESULTS!L92</f>
        <v>7.0624047756195054</v>
      </c>
      <c r="E20" s="20">
        <f>RESULTS!M92</f>
        <v>8.8974626541137702</v>
      </c>
      <c r="F20" s="20">
        <f>RESULTS!N92</f>
        <v>10.74508457183838</v>
      </c>
      <c r="G20" s="20">
        <f>RESULTS!O92</f>
        <v>12.09770650863646</v>
      </c>
    </row>
    <row r="21" spans="1:7" s="36" customFormat="1">
      <c r="A21" s="36" t="s">
        <v>103</v>
      </c>
      <c r="B21" s="41">
        <f>RESULTS!J93</f>
        <v>4.6851043683724336E-2</v>
      </c>
      <c r="C21" s="41">
        <f>RESULTS!K93</f>
        <v>4.0786916906186917E-2</v>
      </c>
      <c r="D21" s="41">
        <f>RESULTS!L93</f>
        <v>3.7625223712441293E-2</v>
      </c>
      <c r="E21" s="41">
        <f>RESULTS!M93</f>
        <v>7.8473286324071204E-2</v>
      </c>
      <c r="F21" s="41">
        <f>RESULTS!N93</f>
        <v>7.9594919432368127E-2</v>
      </c>
      <c r="G21" s="41">
        <f>RESULTS!O93</f>
        <v>8.9064561273534654E-2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RESULTS</vt:lpstr>
      <vt:lpstr>real vs gen</vt:lpstr>
      <vt:lpstr>sparsity</vt:lpstr>
      <vt:lpstr>ml vs news</vt:lpstr>
      <vt:lpstr>dimentionality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Шевченко</cp:lastModifiedBy>
  <dcterms:modified xsi:type="dcterms:W3CDTF">2026-08-06T18:40:12Z</dcterms:modified>
</cp:coreProperties>
</file>